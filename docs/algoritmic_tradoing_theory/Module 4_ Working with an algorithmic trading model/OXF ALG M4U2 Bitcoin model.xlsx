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hagan\Desktop\GetSmarter\0-Courses\0-GB\0-OXF-ALG Overhaul\1-Programme content\Module 4\Unit 2\4.5 Video\"/>
    </mc:Choice>
  </mc:AlternateContent>
  <xr:revisionPtr revIDLastSave="0" documentId="8_{C5FB6009-675E-41C7-B22A-8629FA7C6007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Bitcoin MA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 s="1"/>
  <c r="H5" i="1" s="1"/>
  <c r="H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6" i="1"/>
  <c r="E6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3" i="1"/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M2" i="1"/>
  <c r="L2" i="1"/>
  <c r="F1563" i="1"/>
  <c r="F1798" i="1"/>
  <c r="F1790" i="1"/>
  <c r="F1782" i="1"/>
  <c r="F1774" i="1"/>
  <c r="F1766" i="1"/>
  <c r="F1758" i="1"/>
  <c r="F1750" i="1"/>
  <c r="F1742" i="1"/>
  <c r="F1734" i="1"/>
  <c r="F1726" i="1"/>
  <c r="F1718" i="1"/>
  <c r="F1710" i="1"/>
  <c r="F1702" i="1"/>
  <c r="F1694" i="1"/>
  <c r="F1686" i="1"/>
  <c r="F1797" i="1"/>
  <c r="F1789" i="1"/>
  <c r="F1781" i="1"/>
  <c r="F1773" i="1"/>
  <c r="F1765" i="1"/>
  <c r="F1757" i="1"/>
  <c r="F1749" i="1"/>
  <c r="F1741" i="1"/>
  <c r="F1733" i="1"/>
  <c r="F1725" i="1"/>
  <c r="F1717" i="1"/>
  <c r="F1709" i="1"/>
  <c r="F1701" i="1"/>
  <c r="F1693" i="1"/>
  <c r="F1685" i="1"/>
  <c r="F1677" i="1"/>
  <c r="F1669" i="1"/>
  <c r="F1661" i="1"/>
  <c r="F1653" i="1"/>
  <c r="F1645" i="1"/>
  <c r="F1637" i="1"/>
  <c r="F1795" i="1"/>
  <c r="F1787" i="1"/>
  <c r="F1779" i="1"/>
  <c r="F1771" i="1"/>
  <c r="F1763" i="1"/>
  <c r="F1755" i="1"/>
  <c r="F1747" i="1"/>
  <c r="F1739" i="1"/>
  <c r="F1731" i="1"/>
  <c r="F1723" i="1"/>
  <c r="F1715" i="1"/>
  <c r="F1707" i="1"/>
  <c r="F1699" i="1"/>
  <c r="F1691" i="1"/>
  <c r="F1683" i="1"/>
  <c r="F1802" i="1"/>
  <c r="F1794" i="1"/>
  <c r="F1786" i="1"/>
  <c r="F1778" i="1"/>
  <c r="F1770" i="1"/>
  <c r="F1762" i="1"/>
  <c r="F1754" i="1"/>
  <c r="F1746" i="1"/>
  <c r="F1738" i="1"/>
  <c r="F1730" i="1"/>
  <c r="F1722" i="1"/>
  <c r="F1714" i="1"/>
  <c r="F1706" i="1"/>
  <c r="F1698" i="1"/>
  <c r="F1690" i="1"/>
  <c r="F1682" i="1"/>
  <c r="F1674" i="1"/>
  <c r="F1666" i="1"/>
  <c r="F1658" i="1"/>
  <c r="F1650" i="1"/>
  <c r="F1642" i="1"/>
  <c r="F1634" i="1"/>
  <c r="F1626" i="1"/>
  <c r="F1618" i="1"/>
  <c r="F1610" i="1"/>
  <c r="F1602" i="1"/>
  <c r="F1594" i="1"/>
  <c r="F1586" i="1"/>
  <c r="F1578" i="1"/>
  <c r="F1570" i="1"/>
  <c r="F1562" i="1"/>
  <c r="F1554" i="1"/>
  <c r="F1546" i="1"/>
  <c r="F1538" i="1"/>
  <c r="F1530" i="1"/>
  <c r="F1522" i="1"/>
  <c r="F1514" i="1"/>
  <c r="F1506" i="1"/>
  <c r="F1498" i="1"/>
  <c r="F1490" i="1"/>
  <c r="F1482" i="1"/>
  <c r="F1474" i="1"/>
  <c r="F1466" i="1"/>
  <c r="F1458" i="1"/>
  <c r="F1450" i="1"/>
  <c r="F1442" i="1"/>
  <c r="F1434" i="1"/>
  <c r="F1426" i="1"/>
  <c r="F1418" i="1"/>
  <c r="F1410" i="1"/>
  <c r="F1402" i="1"/>
  <c r="F1394" i="1"/>
  <c r="G16" i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F1801" i="1"/>
  <c r="F1793" i="1"/>
  <c r="F1785" i="1"/>
  <c r="F1777" i="1"/>
  <c r="F1769" i="1"/>
  <c r="F1761" i="1"/>
  <c r="F1753" i="1"/>
  <c r="F1745" i="1"/>
  <c r="F1737" i="1"/>
  <c r="F1729" i="1"/>
  <c r="F1721" i="1"/>
  <c r="F1713" i="1"/>
  <c r="F1800" i="1"/>
  <c r="F1792" i="1"/>
  <c r="F1784" i="1"/>
  <c r="F1776" i="1"/>
  <c r="F1768" i="1"/>
  <c r="F1760" i="1"/>
  <c r="F1752" i="1"/>
  <c r="F1744" i="1"/>
  <c r="F1736" i="1"/>
  <c r="F1728" i="1"/>
  <c r="F1720" i="1"/>
  <c r="F1712" i="1"/>
  <c r="F1704" i="1"/>
  <c r="F1696" i="1"/>
  <c r="F1688" i="1"/>
  <c r="F1680" i="1"/>
  <c r="F1672" i="1"/>
  <c r="F1664" i="1"/>
  <c r="F1656" i="1"/>
  <c r="F1648" i="1"/>
  <c r="F1640" i="1"/>
  <c r="F1799" i="1"/>
  <c r="F1791" i="1"/>
  <c r="F1783" i="1"/>
  <c r="F1775" i="1"/>
  <c r="F1767" i="1"/>
  <c r="F1759" i="1"/>
  <c r="F1751" i="1"/>
  <c r="F1743" i="1"/>
  <c r="F1735" i="1"/>
  <c r="F1727" i="1"/>
  <c r="F1719" i="1"/>
  <c r="F1711" i="1"/>
  <c r="F1703" i="1"/>
  <c r="F1695" i="1"/>
  <c r="F1687" i="1"/>
  <c r="F1679" i="1"/>
  <c r="F1671" i="1"/>
  <c r="F1663" i="1"/>
  <c r="F1655" i="1"/>
  <c r="F1647" i="1"/>
  <c r="F1639" i="1"/>
  <c r="F1631" i="1"/>
  <c r="F1623" i="1"/>
  <c r="F1615" i="1"/>
  <c r="F1607" i="1"/>
  <c r="F1599" i="1"/>
  <c r="F1591" i="1"/>
  <c r="F1583" i="1"/>
  <c r="F1575" i="1"/>
  <c r="F1559" i="1"/>
  <c r="F1551" i="1"/>
  <c r="F1543" i="1"/>
  <c r="F1535" i="1"/>
  <c r="F1527" i="1"/>
  <c r="F1519" i="1"/>
  <c r="F1511" i="1"/>
  <c r="F1503" i="1"/>
  <c r="F1495" i="1"/>
  <c r="F1487" i="1"/>
  <c r="F1479" i="1"/>
  <c r="F1471" i="1"/>
  <c r="F1678" i="1"/>
  <c r="F1670" i="1"/>
  <c r="F1662" i="1"/>
  <c r="F1654" i="1"/>
  <c r="F1646" i="1"/>
  <c r="F1638" i="1"/>
  <c r="F1630" i="1"/>
  <c r="F1622" i="1"/>
  <c r="F1614" i="1"/>
  <c r="F1606" i="1"/>
  <c r="F1598" i="1"/>
  <c r="F1590" i="1"/>
  <c r="F1582" i="1"/>
  <c r="F1574" i="1"/>
  <c r="F1558" i="1"/>
  <c r="F1550" i="1"/>
  <c r="F1542" i="1"/>
  <c r="F1534" i="1"/>
  <c r="F1526" i="1"/>
  <c r="F1518" i="1"/>
  <c r="F1510" i="1"/>
  <c r="F1502" i="1"/>
  <c r="F1494" i="1"/>
  <c r="F1486" i="1"/>
  <c r="F1478" i="1"/>
  <c r="F1470" i="1"/>
  <c r="F1462" i="1"/>
  <c r="F1454" i="1"/>
  <c r="F1446" i="1"/>
  <c r="F1438" i="1"/>
  <c r="F1430" i="1"/>
  <c r="F1422" i="1"/>
  <c r="F1414" i="1"/>
  <c r="F1406" i="1"/>
  <c r="F1398" i="1"/>
  <c r="F1390" i="1"/>
  <c r="F1382" i="1"/>
  <c r="F1374" i="1"/>
  <c r="F1366" i="1"/>
  <c r="F1358" i="1"/>
  <c r="F1350" i="1"/>
  <c r="F1342" i="1"/>
  <c r="F1334" i="1"/>
  <c r="F1326" i="1"/>
  <c r="F1318" i="1"/>
  <c r="F1310" i="1"/>
  <c r="F1302" i="1"/>
  <c r="F1294" i="1"/>
  <c r="F1286" i="1"/>
  <c r="F1278" i="1"/>
  <c r="F1270" i="1"/>
  <c r="F1262" i="1"/>
  <c r="F1254" i="1"/>
  <c r="F1246" i="1"/>
  <c r="F1238" i="1"/>
  <c r="F1230" i="1"/>
  <c r="F1222" i="1"/>
  <c r="F1214" i="1"/>
  <c r="F1206" i="1"/>
  <c r="F1198" i="1"/>
  <c r="F1190" i="1"/>
  <c r="F1182" i="1"/>
  <c r="F1174" i="1"/>
  <c r="F1166" i="1"/>
  <c r="F1158" i="1"/>
  <c r="F1150" i="1"/>
  <c r="F1142" i="1"/>
  <c r="F1134" i="1"/>
  <c r="F1126" i="1"/>
  <c r="F1118" i="1"/>
  <c r="F1110" i="1"/>
  <c r="F1102" i="1"/>
  <c r="F1094" i="1"/>
  <c r="F1086" i="1"/>
  <c r="F1078" i="1"/>
  <c r="F1070" i="1"/>
  <c r="F1062" i="1"/>
  <c r="F1054" i="1"/>
  <c r="F1046" i="1"/>
  <c r="F1038" i="1"/>
  <c r="F1030" i="1"/>
  <c r="F1022" i="1"/>
  <c r="F1014" i="1"/>
  <c r="F1006" i="1"/>
  <c r="F998" i="1"/>
  <c r="F990" i="1"/>
  <c r="F982" i="1"/>
  <c r="F974" i="1"/>
  <c r="F966" i="1"/>
  <c r="F958" i="1"/>
  <c r="F950" i="1"/>
  <c r="F942" i="1"/>
  <c r="F934" i="1"/>
  <c r="F926" i="1"/>
  <c r="F918" i="1"/>
  <c r="F910" i="1"/>
  <c r="F902" i="1"/>
  <c r="F894" i="1"/>
  <c r="F886" i="1"/>
  <c r="F878" i="1"/>
  <c r="F870" i="1"/>
  <c r="F862" i="1"/>
  <c r="F854" i="1"/>
  <c r="F846" i="1"/>
  <c r="F838" i="1"/>
  <c r="F830" i="1"/>
  <c r="F822" i="1"/>
  <c r="F814" i="1"/>
  <c r="F806" i="1"/>
  <c r="F798" i="1"/>
  <c r="F790" i="1"/>
  <c r="F782" i="1"/>
  <c r="F774" i="1"/>
  <c r="F766" i="1"/>
  <c r="F758" i="1"/>
  <c r="F750" i="1"/>
  <c r="F742" i="1"/>
  <c r="F734" i="1"/>
  <c r="F726" i="1"/>
  <c r="F718" i="1"/>
  <c r="F710" i="1"/>
  <c r="F702" i="1"/>
  <c r="F694" i="1"/>
  <c r="F686" i="1"/>
  <c r="F678" i="1"/>
  <c r="F670" i="1"/>
  <c r="F662" i="1"/>
  <c r="F654" i="1"/>
  <c r="F646" i="1"/>
  <c r="F638" i="1"/>
  <c r="F630" i="1"/>
  <c r="F1629" i="1"/>
  <c r="F1621" i="1"/>
  <c r="F1613" i="1"/>
  <c r="F1605" i="1"/>
  <c r="F1597" i="1"/>
  <c r="F1589" i="1"/>
  <c r="F1581" i="1"/>
  <c r="F1573" i="1"/>
  <c r="F1565" i="1"/>
  <c r="F1557" i="1"/>
  <c r="F1549" i="1"/>
  <c r="F1541" i="1"/>
  <c r="F1533" i="1"/>
  <c r="F1525" i="1"/>
  <c r="F1517" i="1"/>
  <c r="F1509" i="1"/>
  <c r="F1501" i="1"/>
  <c r="F1493" i="1"/>
  <c r="F1485" i="1"/>
  <c r="F1477" i="1"/>
  <c r="F1469" i="1"/>
  <c r="F1461" i="1"/>
  <c r="F1453" i="1"/>
  <c r="F1445" i="1"/>
  <c r="F1437" i="1"/>
  <c r="F1429" i="1"/>
  <c r="F1421" i="1"/>
  <c r="F1413" i="1"/>
  <c r="F1405" i="1"/>
  <c r="F1397" i="1"/>
  <c r="F1389" i="1"/>
  <c r="F1381" i="1"/>
  <c r="F1373" i="1"/>
  <c r="F1365" i="1"/>
  <c r="F1357" i="1"/>
  <c r="F1349" i="1"/>
  <c r="F1341" i="1"/>
  <c r="F1333" i="1"/>
  <c r="F1325" i="1"/>
  <c r="F1317" i="1"/>
  <c r="F1309" i="1"/>
  <c r="F1301" i="1"/>
  <c r="F1293" i="1"/>
  <c r="F1285" i="1"/>
  <c r="F1277" i="1"/>
  <c r="F1269" i="1"/>
  <c r="F1261" i="1"/>
  <c r="F1253" i="1"/>
  <c r="F1245" i="1"/>
  <c r="F1237" i="1"/>
  <c r="F1229" i="1"/>
  <c r="F1221" i="1"/>
  <c r="F1213" i="1"/>
  <c r="F1205" i="1"/>
  <c r="F1197" i="1"/>
  <c r="F1189" i="1"/>
  <c r="F1181" i="1"/>
  <c r="F1173" i="1"/>
  <c r="F1165" i="1"/>
  <c r="F1157" i="1"/>
  <c r="F1149" i="1"/>
  <c r="F1141" i="1"/>
  <c r="F1133" i="1"/>
  <c r="F1125" i="1"/>
  <c r="F1117" i="1"/>
  <c r="F1109" i="1"/>
  <c r="F1101" i="1"/>
  <c r="F1093" i="1"/>
  <c r="F1085" i="1"/>
  <c r="F1077" i="1"/>
  <c r="F1069" i="1"/>
  <c r="F1061" i="1"/>
  <c r="F1053" i="1"/>
  <c r="F1045" i="1"/>
  <c r="F1037" i="1"/>
  <c r="F1029" i="1"/>
  <c r="F1021" i="1"/>
  <c r="F1013" i="1"/>
  <c r="F1005" i="1"/>
  <c r="F997" i="1"/>
  <c r="F989" i="1"/>
  <c r="F981" i="1"/>
  <c r="F973" i="1"/>
  <c r="F965" i="1"/>
  <c r="F957" i="1"/>
  <c r="F949" i="1"/>
  <c r="F941" i="1"/>
  <c r="F933" i="1"/>
  <c r="F925" i="1"/>
  <c r="F917" i="1"/>
  <c r="F909" i="1"/>
  <c r="F901" i="1"/>
  <c r="F893" i="1"/>
  <c r="F885" i="1"/>
  <c r="F877" i="1"/>
  <c r="F869" i="1"/>
  <c r="F861" i="1"/>
  <c r="F853" i="1"/>
  <c r="F845" i="1"/>
  <c r="F837" i="1"/>
  <c r="F829" i="1"/>
  <c r="F821" i="1"/>
  <c r="F813" i="1"/>
  <c r="F805" i="1"/>
  <c r="F797" i="1"/>
  <c r="F789" i="1"/>
  <c r="F781" i="1"/>
  <c r="F773" i="1"/>
  <c r="F765" i="1"/>
  <c r="F757" i="1"/>
  <c r="F749" i="1"/>
  <c r="F741" i="1"/>
  <c r="F733" i="1"/>
  <c r="F725" i="1"/>
  <c r="F717" i="1"/>
  <c r="F709" i="1"/>
  <c r="F701" i="1"/>
  <c r="F693" i="1"/>
  <c r="F685" i="1"/>
  <c r="F677" i="1"/>
  <c r="F669" i="1"/>
  <c r="F661" i="1"/>
  <c r="F653" i="1"/>
  <c r="F645" i="1"/>
  <c r="F637" i="1"/>
  <c r="F621" i="1"/>
  <c r="F605" i="1"/>
  <c r="F589" i="1"/>
  <c r="F573" i="1"/>
  <c r="F557" i="1"/>
  <c r="F541" i="1"/>
  <c r="F525" i="1"/>
  <c r="F509" i="1"/>
  <c r="F493" i="1"/>
  <c r="F477" i="1"/>
  <c r="F461" i="1"/>
  <c r="F445" i="1"/>
  <c r="F7" i="1"/>
  <c r="F1796" i="1"/>
  <c r="F1788" i="1"/>
  <c r="F1780" i="1"/>
  <c r="F1772" i="1"/>
  <c r="F1764" i="1"/>
  <c r="F1756" i="1"/>
  <c r="F1748" i="1"/>
  <c r="F1740" i="1"/>
  <c r="F1732" i="1"/>
  <c r="F1724" i="1"/>
  <c r="F1716" i="1"/>
  <c r="F1708" i="1"/>
  <c r="F1700" i="1"/>
  <c r="F1692" i="1"/>
  <c r="F1684" i="1"/>
  <c r="F1676" i="1"/>
  <c r="F1668" i="1"/>
  <c r="F1660" i="1"/>
  <c r="F1652" i="1"/>
  <c r="F1644" i="1"/>
  <c r="F1636" i="1"/>
  <c r="F1628" i="1"/>
  <c r="F1620" i="1"/>
  <c r="F1612" i="1"/>
  <c r="F1604" i="1"/>
  <c r="F1596" i="1"/>
  <c r="F1588" i="1"/>
  <c r="F1580" i="1"/>
  <c r="F1572" i="1"/>
  <c r="F1564" i="1"/>
  <c r="F1556" i="1"/>
  <c r="F1548" i="1"/>
  <c r="F1540" i="1"/>
  <c r="F1532" i="1"/>
  <c r="F1524" i="1"/>
  <c r="F1516" i="1"/>
  <c r="F1508" i="1"/>
  <c r="F1500" i="1"/>
  <c r="F1492" i="1"/>
  <c r="F1380" i="1"/>
  <c r="F1372" i="1"/>
  <c r="F1364" i="1"/>
  <c r="F1356" i="1"/>
  <c r="F1348" i="1"/>
  <c r="F1340" i="1"/>
  <c r="F1332" i="1"/>
  <c r="F1324" i="1"/>
  <c r="F1316" i="1"/>
  <c r="F1308" i="1"/>
  <c r="F1300" i="1"/>
  <c r="F1292" i="1"/>
  <c r="F1284" i="1"/>
  <c r="F1276" i="1"/>
  <c r="F1268" i="1"/>
  <c r="F1260" i="1"/>
  <c r="F1252" i="1"/>
  <c r="F1244" i="1"/>
  <c r="F1236" i="1"/>
  <c r="F1228" i="1"/>
  <c r="F1220" i="1"/>
  <c r="F1212" i="1"/>
  <c r="F1204" i="1"/>
  <c r="F1196" i="1"/>
  <c r="F1188" i="1"/>
  <c r="F1180" i="1"/>
  <c r="F1172" i="1"/>
  <c r="F1164" i="1"/>
  <c r="F1156" i="1"/>
  <c r="F1148" i="1"/>
  <c r="F1140" i="1"/>
  <c r="F1132" i="1"/>
  <c r="F1124" i="1"/>
  <c r="F1116" i="1"/>
  <c r="F1108" i="1"/>
  <c r="F1100" i="1"/>
  <c r="F1092" i="1"/>
  <c r="F1084" i="1"/>
  <c r="F1076" i="1"/>
  <c r="F1068" i="1"/>
  <c r="F1060" i="1"/>
  <c r="F1052" i="1"/>
  <c r="F1044" i="1"/>
  <c r="F1036" i="1"/>
  <c r="F1028" i="1"/>
  <c r="F1020" i="1"/>
  <c r="F1012" i="1"/>
  <c r="F1004" i="1"/>
  <c r="F996" i="1"/>
  <c r="F988" i="1"/>
  <c r="F980" i="1"/>
  <c r="F972" i="1"/>
  <c r="F964" i="1"/>
  <c r="F956" i="1"/>
  <c r="F948" i="1"/>
  <c r="F940" i="1"/>
  <c r="F932" i="1"/>
  <c r="F924" i="1"/>
  <c r="F916" i="1"/>
  <c r="F908" i="1"/>
  <c r="F900" i="1"/>
  <c r="F892" i="1"/>
  <c r="F884" i="1"/>
  <c r="F876" i="1"/>
  <c r="F868" i="1"/>
  <c r="F860" i="1"/>
  <c r="F852" i="1"/>
  <c r="F844" i="1"/>
  <c r="F836" i="1"/>
  <c r="F828" i="1"/>
  <c r="F820" i="1"/>
  <c r="F812" i="1"/>
  <c r="F804" i="1"/>
  <c r="F796" i="1"/>
  <c r="F788" i="1"/>
  <c r="F780" i="1"/>
  <c r="F772" i="1"/>
  <c r="F764" i="1"/>
  <c r="F756" i="1"/>
  <c r="F748" i="1"/>
  <c r="F740" i="1"/>
  <c r="F732" i="1"/>
  <c r="F724" i="1"/>
  <c r="F716" i="1"/>
  <c r="F708" i="1"/>
  <c r="F700" i="1"/>
  <c r="F692" i="1"/>
  <c r="F684" i="1"/>
  <c r="F676" i="1"/>
  <c r="F668" i="1"/>
  <c r="F660" i="1"/>
  <c r="F652" i="1"/>
  <c r="F644" i="1"/>
  <c r="F636" i="1"/>
  <c r="F428" i="1"/>
  <c r="F420" i="1"/>
  <c r="F412" i="1"/>
  <c r="F404" i="1"/>
  <c r="F396" i="1"/>
  <c r="F388" i="1"/>
  <c r="F380" i="1"/>
  <c r="F372" i="1"/>
  <c r="F364" i="1"/>
  <c r="F356" i="1"/>
  <c r="F348" i="1"/>
  <c r="F340" i="1"/>
  <c r="F332" i="1"/>
  <c r="F324" i="1"/>
  <c r="F316" i="1"/>
  <c r="F308" i="1"/>
  <c r="F300" i="1"/>
  <c r="F292" i="1"/>
  <c r="F284" i="1"/>
  <c r="F276" i="1"/>
  <c r="F268" i="1"/>
  <c r="F260" i="1"/>
  <c r="F252" i="1"/>
  <c r="F244" i="1"/>
  <c r="F1675" i="1"/>
  <c r="F1667" i="1"/>
  <c r="F1659" i="1"/>
  <c r="F1651" i="1"/>
  <c r="F1643" i="1"/>
  <c r="F1635" i="1"/>
  <c r="F1627" i="1"/>
  <c r="F1619" i="1"/>
  <c r="F1611" i="1"/>
  <c r="F1603" i="1"/>
  <c r="F1595" i="1"/>
  <c r="F1587" i="1"/>
  <c r="F1579" i="1"/>
  <c r="F1571" i="1"/>
  <c r="F1555" i="1"/>
  <c r="F1547" i="1"/>
  <c r="F1539" i="1"/>
  <c r="F1531" i="1"/>
  <c r="F1523" i="1"/>
  <c r="F1515" i="1"/>
  <c r="F1507" i="1"/>
  <c r="F1499" i="1"/>
  <c r="F1491" i="1"/>
  <c r="F1483" i="1"/>
  <c r="F1475" i="1"/>
  <c r="F1467" i="1"/>
  <c r="F1459" i="1"/>
  <c r="F1451" i="1"/>
  <c r="F1443" i="1"/>
  <c r="F1435" i="1"/>
  <c r="F1427" i="1"/>
  <c r="F1419" i="1"/>
  <c r="F1411" i="1"/>
  <c r="F1403" i="1"/>
  <c r="F1395" i="1"/>
  <c r="F1387" i="1"/>
  <c r="F1379" i="1"/>
  <c r="F1371" i="1"/>
  <c r="F1363" i="1"/>
  <c r="F1355" i="1"/>
  <c r="F1347" i="1"/>
  <c r="F1339" i="1"/>
  <c r="F1331" i="1"/>
  <c r="F1323" i="1"/>
  <c r="F1315" i="1"/>
  <c r="F1307" i="1"/>
  <c r="F1299" i="1"/>
  <c r="F1291" i="1"/>
  <c r="F1283" i="1"/>
  <c r="F1275" i="1"/>
  <c r="F1267" i="1"/>
  <c r="F1259" i="1"/>
  <c r="F1251" i="1"/>
  <c r="F1243" i="1"/>
  <c r="F1235" i="1"/>
  <c r="F1227" i="1"/>
  <c r="F1219" i="1"/>
  <c r="F1211" i="1"/>
  <c r="F1203" i="1"/>
  <c r="F1195" i="1"/>
  <c r="F1187" i="1"/>
  <c r="F1179" i="1"/>
  <c r="F1171" i="1"/>
  <c r="F1163" i="1"/>
  <c r="F1155" i="1"/>
  <c r="F1147" i="1"/>
  <c r="F1139" i="1"/>
  <c r="F1131" i="1"/>
  <c r="F1123" i="1"/>
  <c r="F1115" i="1"/>
  <c r="F1107" i="1"/>
  <c r="F1099" i="1"/>
  <c r="F1091" i="1"/>
  <c r="F1083" i="1"/>
  <c r="F1075" i="1"/>
  <c r="F1067" i="1"/>
  <c r="F1059" i="1"/>
  <c r="F1051" i="1"/>
  <c r="F1043" i="1"/>
  <c r="F1035" i="1"/>
  <c r="F1027" i="1"/>
  <c r="F1019" i="1"/>
  <c r="F1011" i="1"/>
  <c r="F1003" i="1"/>
  <c r="F995" i="1"/>
  <c r="F987" i="1"/>
  <c r="F979" i="1"/>
  <c r="F971" i="1"/>
  <c r="F963" i="1"/>
  <c r="F955" i="1"/>
  <c r="F947" i="1"/>
  <c r="F939" i="1"/>
  <c r="F931" i="1"/>
  <c r="F923" i="1"/>
  <c r="F915" i="1"/>
  <c r="F907" i="1"/>
  <c r="F899" i="1"/>
  <c r="F891" i="1"/>
  <c r="F883" i="1"/>
  <c r="F875" i="1"/>
  <c r="F867" i="1"/>
  <c r="F859" i="1"/>
  <c r="F851" i="1"/>
  <c r="F843" i="1"/>
  <c r="F835" i="1"/>
  <c r="F827" i="1"/>
  <c r="F819" i="1"/>
  <c r="F811" i="1"/>
  <c r="F803" i="1"/>
  <c r="F795" i="1"/>
  <c r="F787" i="1"/>
  <c r="F779" i="1"/>
  <c r="F771" i="1"/>
  <c r="F763" i="1"/>
  <c r="F755" i="1"/>
  <c r="F747" i="1"/>
  <c r="F739" i="1"/>
  <c r="F731" i="1"/>
  <c r="F723" i="1"/>
  <c r="F715" i="1"/>
  <c r="F707" i="1"/>
  <c r="F699" i="1"/>
  <c r="F691" i="1"/>
  <c r="F627" i="1"/>
  <c r="F611" i="1"/>
  <c r="F595" i="1"/>
  <c r="F579" i="1"/>
  <c r="F563" i="1"/>
  <c r="F547" i="1"/>
  <c r="F531" i="1"/>
  <c r="F515" i="1"/>
  <c r="F499" i="1"/>
  <c r="F483" i="1"/>
  <c r="F467" i="1"/>
  <c r="F451" i="1"/>
  <c r="F435" i="1"/>
  <c r="F1386" i="1"/>
  <c r="F1378" i="1"/>
  <c r="F1370" i="1"/>
  <c r="F1362" i="1"/>
  <c r="F1354" i="1"/>
  <c r="F1346" i="1"/>
  <c r="F1338" i="1"/>
  <c r="F1330" i="1"/>
  <c r="F1322" i="1"/>
  <c r="F1314" i="1"/>
  <c r="F1306" i="1"/>
  <c r="F1298" i="1"/>
  <c r="F1290" i="1"/>
  <c r="F1282" i="1"/>
  <c r="F1274" i="1"/>
  <c r="F1266" i="1"/>
  <c r="F1258" i="1"/>
  <c r="F1250" i="1"/>
  <c r="F1242" i="1"/>
  <c r="F1234" i="1"/>
  <c r="F1226" i="1"/>
  <c r="F1218" i="1"/>
  <c r="F1210" i="1"/>
  <c r="F1202" i="1"/>
  <c r="F1194" i="1"/>
  <c r="F1186" i="1"/>
  <c r="F1178" i="1"/>
  <c r="F1170" i="1"/>
  <c r="F1162" i="1"/>
  <c r="F1154" i="1"/>
  <c r="F1146" i="1"/>
  <c r="F1138" i="1"/>
  <c r="F1130" i="1"/>
  <c r="F1122" i="1"/>
  <c r="F1114" i="1"/>
  <c r="F1106" i="1"/>
  <c r="F1098" i="1"/>
  <c r="F1090" i="1"/>
  <c r="F1082" i="1"/>
  <c r="F1074" i="1"/>
  <c r="F1066" i="1"/>
  <c r="F1058" i="1"/>
  <c r="F1050" i="1"/>
  <c r="F1042" i="1"/>
  <c r="F1034" i="1"/>
  <c r="F1026" i="1"/>
  <c r="F1018" i="1"/>
  <c r="F1010" i="1"/>
  <c r="F1002" i="1"/>
  <c r="F994" i="1"/>
  <c r="F986" i="1"/>
  <c r="F978" i="1"/>
  <c r="F970" i="1"/>
  <c r="F962" i="1"/>
  <c r="F954" i="1"/>
  <c r="F946" i="1"/>
  <c r="F938" i="1"/>
  <c r="F930" i="1"/>
  <c r="F922" i="1"/>
  <c r="F914" i="1"/>
  <c r="F906" i="1"/>
  <c r="F898" i="1"/>
  <c r="F890" i="1"/>
  <c r="F882" i="1"/>
  <c r="F874" i="1"/>
  <c r="F866" i="1"/>
  <c r="F858" i="1"/>
  <c r="F850" i="1"/>
  <c r="F842" i="1"/>
  <c r="F834" i="1"/>
  <c r="F826" i="1"/>
  <c r="F818" i="1"/>
  <c r="F810" i="1"/>
  <c r="F802" i="1"/>
  <c r="F794" i="1"/>
  <c r="F786" i="1"/>
  <c r="F778" i="1"/>
  <c r="F770" i="1"/>
  <c r="F762" i="1"/>
  <c r="F754" i="1"/>
  <c r="F746" i="1"/>
  <c r="F738" i="1"/>
  <c r="F730" i="1"/>
  <c r="F722" i="1"/>
  <c r="F714" i="1"/>
  <c r="F706" i="1"/>
  <c r="F698" i="1"/>
  <c r="F690" i="1"/>
  <c r="F682" i="1"/>
  <c r="F674" i="1"/>
  <c r="F666" i="1"/>
  <c r="F658" i="1"/>
  <c r="F650" i="1"/>
  <c r="F642" i="1"/>
  <c r="F634" i="1"/>
  <c r="F626" i="1"/>
  <c r="F1705" i="1"/>
  <c r="F1697" i="1"/>
  <c r="F1689" i="1"/>
  <c r="F1681" i="1"/>
  <c r="F1673" i="1"/>
  <c r="F1665" i="1"/>
  <c r="F1657" i="1"/>
  <c r="F1649" i="1"/>
  <c r="F1641" i="1"/>
  <c r="F1633" i="1"/>
  <c r="F1625" i="1"/>
  <c r="F1617" i="1"/>
  <c r="F1609" i="1"/>
  <c r="F1601" i="1"/>
  <c r="F1593" i="1"/>
  <c r="F1585" i="1"/>
  <c r="F1577" i="1"/>
  <c r="F1569" i="1"/>
  <c r="F1561" i="1"/>
  <c r="F1553" i="1"/>
  <c r="F1545" i="1"/>
  <c r="F1537" i="1"/>
  <c r="F1529" i="1"/>
  <c r="F1521" i="1"/>
  <c r="F1513" i="1"/>
  <c r="F1505" i="1"/>
  <c r="F1497" i="1"/>
  <c r="F1489" i="1"/>
  <c r="F1481" i="1"/>
  <c r="F1473" i="1"/>
  <c r="F1465" i="1"/>
  <c r="F1457" i="1"/>
  <c r="F1449" i="1"/>
  <c r="F1441" i="1"/>
  <c r="F1433" i="1"/>
  <c r="F1425" i="1"/>
  <c r="F1417" i="1"/>
  <c r="F1409" i="1"/>
  <c r="F1401" i="1"/>
  <c r="F1385" i="1"/>
  <c r="F1377" i="1"/>
  <c r="F1369" i="1"/>
  <c r="F1361" i="1"/>
  <c r="F1353" i="1"/>
  <c r="F1345" i="1"/>
  <c r="F1337" i="1"/>
  <c r="F1329" i="1"/>
  <c r="F1321" i="1"/>
  <c r="F1313" i="1"/>
  <c r="F1305" i="1"/>
  <c r="F1297" i="1"/>
  <c r="F1289" i="1"/>
  <c r="F1281" i="1"/>
  <c r="F1273" i="1"/>
  <c r="F1265" i="1"/>
  <c r="F1257" i="1"/>
  <c r="F1249" i="1"/>
  <c r="F1241" i="1"/>
  <c r="F1233" i="1"/>
  <c r="F1225" i="1"/>
  <c r="F1217" i="1"/>
  <c r="F1209" i="1"/>
  <c r="F1201" i="1"/>
  <c r="F1193" i="1"/>
  <c r="F1185" i="1"/>
  <c r="F1177" i="1"/>
  <c r="F1169" i="1"/>
  <c r="F1161" i="1"/>
  <c r="F1153" i="1"/>
  <c r="F1145" i="1"/>
  <c r="F1137" i="1"/>
  <c r="F1129" i="1"/>
  <c r="F1121" i="1"/>
  <c r="F1113" i="1"/>
  <c r="F1105" i="1"/>
  <c r="F1097" i="1"/>
  <c r="F1089" i="1"/>
  <c r="F1081" i="1"/>
  <c r="F1073" i="1"/>
  <c r="F1065" i="1"/>
  <c r="F1057" i="1"/>
  <c r="F1049" i="1"/>
  <c r="F1041" i="1"/>
  <c r="F1033" i="1"/>
  <c r="F1025" i="1"/>
  <c r="F1017" i="1"/>
  <c r="F1009" i="1"/>
  <c r="F1001" i="1"/>
  <c r="F993" i="1"/>
  <c r="F985" i="1"/>
  <c r="F977" i="1"/>
  <c r="F969" i="1"/>
  <c r="F961" i="1"/>
  <c r="F953" i="1"/>
  <c r="F945" i="1"/>
  <c r="F937" i="1"/>
  <c r="F929" i="1"/>
  <c r="F921" i="1"/>
  <c r="F913" i="1"/>
  <c r="F905" i="1"/>
  <c r="F897" i="1"/>
  <c r="F889" i="1"/>
  <c r="F881" i="1"/>
  <c r="F873" i="1"/>
  <c r="F865" i="1"/>
  <c r="F857" i="1"/>
  <c r="F849" i="1"/>
  <c r="F841" i="1"/>
  <c r="F833" i="1"/>
  <c r="F825" i="1"/>
  <c r="F817" i="1"/>
  <c r="F809" i="1"/>
  <c r="F801" i="1"/>
  <c r="F793" i="1"/>
  <c r="F785" i="1"/>
  <c r="F777" i="1"/>
  <c r="F769" i="1"/>
  <c r="F761" i="1"/>
  <c r="F753" i="1"/>
  <c r="F745" i="1"/>
  <c r="F737" i="1"/>
  <c r="F729" i="1"/>
  <c r="F721" i="1"/>
  <c r="F713" i="1"/>
  <c r="F705" i="1"/>
  <c r="F697" i="1"/>
  <c r="F689" i="1"/>
  <c r="F681" i="1"/>
  <c r="F673" i="1"/>
  <c r="F665" i="1"/>
  <c r="F657" i="1"/>
  <c r="F649" i="1"/>
  <c r="F641" i="1"/>
  <c r="F625" i="1"/>
  <c r="F1632" i="1"/>
  <c r="F1624" i="1"/>
  <c r="F1616" i="1"/>
  <c r="F1608" i="1"/>
  <c r="F1600" i="1"/>
  <c r="F1592" i="1"/>
  <c r="F1584" i="1"/>
  <c r="F1576" i="1"/>
  <c r="F1560" i="1"/>
  <c r="F1552" i="1"/>
  <c r="F1544" i="1"/>
  <c r="F1536" i="1"/>
  <c r="F1528" i="1"/>
  <c r="F1520" i="1"/>
  <c r="F1512" i="1"/>
  <c r="F1504" i="1"/>
  <c r="F1496" i="1"/>
  <c r="F1488" i="1"/>
  <c r="F1480" i="1"/>
  <c r="F1472" i="1"/>
  <c r="F1464" i="1"/>
  <c r="F1456" i="1"/>
  <c r="F1448" i="1"/>
  <c r="F1440" i="1"/>
  <c r="F1432" i="1"/>
  <c r="F1424" i="1"/>
  <c r="F1416" i="1"/>
  <c r="F1408" i="1"/>
  <c r="F1400" i="1"/>
  <c r="F1392" i="1"/>
  <c r="F1384" i="1"/>
  <c r="F1376" i="1"/>
  <c r="F1368" i="1"/>
  <c r="F1360" i="1"/>
  <c r="F1352" i="1"/>
  <c r="F1344" i="1"/>
  <c r="F1336" i="1"/>
  <c r="F1328" i="1"/>
  <c r="F1320" i="1"/>
  <c r="F1312" i="1"/>
  <c r="F1304" i="1"/>
  <c r="F1296" i="1"/>
  <c r="F1288" i="1"/>
  <c r="F1280" i="1"/>
  <c r="F1272" i="1"/>
  <c r="F1264" i="1"/>
  <c r="F1256" i="1"/>
  <c r="F1248" i="1"/>
  <c r="F1240" i="1"/>
  <c r="F1232" i="1"/>
  <c r="F1224" i="1"/>
  <c r="F1216" i="1"/>
  <c r="F1208" i="1"/>
  <c r="F1200" i="1"/>
  <c r="F1192" i="1"/>
  <c r="F1184" i="1"/>
  <c r="F1176" i="1"/>
  <c r="F1168" i="1"/>
  <c r="F1160" i="1"/>
  <c r="F1152" i="1"/>
  <c r="F1144" i="1"/>
  <c r="F1136" i="1"/>
  <c r="F1128" i="1"/>
  <c r="F1120" i="1"/>
  <c r="F1112" i="1"/>
  <c r="F1104" i="1"/>
  <c r="F1096" i="1"/>
  <c r="F1088" i="1"/>
  <c r="F1080" i="1"/>
  <c r="F1072" i="1"/>
  <c r="F1064" i="1"/>
  <c r="F1056" i="1"/>
  <c r="F1048" i="1"/>
  <c r="F1040" i="1"/>
  <c r="F1032" i="1"/>
  <c r="F1024" i="1"/>
  <c r="F1016" i="1"/>
  <c r="F1008" i="1"/>
  <c r="F1000" i="1"/>
  <c r="F992" i="1"/>
  <c r="F984" i="1"/>
  <c r="F976" i="1"/>
  <c r="F968" i="1"/>
  <c r="F960" i="1"/>
  <c r="F952" i="1"/>
  <c r="F944" i="1"/>
  <c r="F936" i="1"/>
  <c r="F928" i="1"/>
  <c r="F920" i="1"/>
  <c r="F912" i="1"/>
  <c r="F904" i="1"/>
  <c r="F896" i="1"/>
  <c r="F888" i="1"/>
  <c r="F880" i="1"/>
  <c r="F872" i="1"/>
  <c r="F864" i="1"/>
  <c r="F856" i="1"/>
  <c r="F848" i="1"/>
  <c r="F840" i="1"/>
  <c r="F832" i="1"/>
  <c r="F824" i="1"/>
  <c r="F816" i="1"/>
  <c r="F808" i="1"/>
  <c r="F800" i="1"/>
  <c r="F792" i="1"/>
  <c r="F784" i="1"/>
  <c r="F776" i="1"/>
  <c r="F768" i="1"/>
  <c r="F760" i="1"/>
  <c r="F752" i="1"/>
  <c r="F744" i="1"/>
  <c r="F736" i="1"/>
  <c r="F728" i="1"/>
  <c r="F720" i="1"/>
  <c r="F712" i="1"/>
  <c r="F704" i="1"/>
  <c r="F696" i="1"/>
  <c r="F688" i="1"/>
  <c r="F680" i="1"/>
  <c r="F672" i="1"/>
  <c r="F664" i="1"/>
  <c r="F656" i="1"/>
  <c r="F648" i="1"/>
  <c r="F640" i="1"/>
  <c r="F632" i="1"/>
  <c r="F624" i="1"/>
  <c r="F616" i="1"/>
  <c r="F608" i="1"/>
  <c r="F600" i="1"/>
  <c r="F592" i="1"/>
  <c r="F584" i="1"/>
  <c r="F576" i="1"/>
  <c r="F568" i="1"/>
  <c r="F560" i="1"/>
  <c r="F552" i="1"/>
  <c r="F544" i="1"/>
  <c r="F536" i="1"/>
  <c r="F528" i="1"/>
  <c r="F520" i="1"/>
  <c r="F512" i="1"/>
  <c r="F504" i="1"/>
  <c r="F496" i="1"/>
  <c r="F488" i="1"/>
  <c r="F472" i="1"/>
  <c r="F456" i="1"/>
  <c r="F440" i="1"/>
  <c r="F1463" i="1"/>
  <c r="F1455" i="1"/>
  <c r="F1447" i="1"/>
  <c r="F1439" i="1"/>
  <c r="F1431" i="1"/>
  <c r="F1423" i="1"/>
  <c r="F1415" i="1"/>
  <c r="F1407" i="1"/>
  <c r="F1399" i="1"/>
  <c r="F1391" i="1"/>
  <c r="F1383" i="1"/>
  <c r="F1375" i="1"/>
  <c r="F1367" i="1"/>
  <c r="F1359" i="1"/>
  <c r="F1351" i="1"/>
  <c r="F1343" i="1"/>
  <c r="F1335" i="1"/>
  <c r="F1327" i="1"/>
  <c r="F1319" i="1"/>
  <c r="F1311" i="1"/>
  <c r="F1303" i="1"/>
  <c r="F1295" i="1"/>
  <c r="F1287" i="1"/>
  <c r="F1279" i="1"/>
  <c r="F1271" i="1"/>
  <c r="F1263" i="1"/>
  <c r="F1255" i="1"/>
  <c r="F1247" i="1"/>
  <c r="F1239" i="1"/>
  <c r="F1231" i="1"/>
  <c r="F1223" i="1"/>
  <c r="F1215" i="1"/>
  <c r="F1207" i="1"/>
  <c r="F1199" i="1"/>
  <c r="F1191" i="1"/>
  <c r="F1183" i="1"/>
  <c r="F1175" i="1"/>
  <c r="F1167" i="1"/>
  <c r="F1159" i="1"/>
  <c r="F1151" i="1"/>
  <c r="F1143" i="1"/>
  <c r="F1135" i="1"/>
  <c r="F1127" i="1"/>
  <c r="F1119" i="1"/>
  <c r="F1111" i="1"/>
  <c r="F1103" i="1"/>
  <c r="F1095" i="1"/>
  <c r="F1087" i="1"/>
  <c r="F1079" i="1"/>
  <c r="F1071" i="1"/>
  <c r="F1063" i="1"/>
  <c r="F1055" i="1"/>
  <c r="F1047" i="1"/>
  <c r="F1039" i="1"/>
  <c r="F1031" i="1"/>
  <c r="F1023" i="1"/>
  <c r="F1015" i="1"/>
  <c r="F1007" i="1"/>
  <c r="F999" i="1"/>
  <c r="F991" i="1"/>
  <c r="F983" i="1"/>
  <c r="F975" i="1"/>
  <c r="F967" i="1"/>
  <c r="F959" i="1"/>
  <c r="F951" i="1"/>
  <c r="F943" i="1"/>
  <c r="F935" i="1"/>
  <c r="F927" i="1"/>
  <c r="F919" i="1"/>
  <c r="F911" i="1"/>
  <c r="F903" i="1"/>
  <c r="F895" i="1"/>
  <c r="F887" i="1"/>
  <c r="F879" i="1"/>
  <c r="F871" i="1"/>
  <c r="F863" i="1"/>
  <c r="F855" i="1"/>
  <c r="F847" i="1"/>
  <c r="F839" i="1"/>
  <c r="F831" i="1"/>
  <c r="F823" i="1"/>
  <c r="F815" i="1"/>
  <c r="F807" i="1"/>
  <c r="F799" i="1"/>
  <c r="F791" i="1"/>
  <c r="F783" i="1"/>
  <c r="F775" i="1"/>
  <c r="F767" i="1"/>
  <c r="F759" i="1"/>
  <c r="F751" i="1"/>
  <c r="F743" i="1"/>
  <c r="F735" i="1"/>
  <c r="F727" i="1"/>
  <c r="F719" i="1"/>
  <c r="F711" i="1"/>
  <c r="F703" i="1"/>
  <c r="F695" i="1"/>
  <c r="F687" i="1"/>
  <c r="F679" i="1"/>
  <c r="F671" i="1"/>
  <c r="F663" i="1"/>
  <c r="F655" i="1"/>
  <c r="F647" i="1"/>
  <c r="F639" i="1"/>
  <c r="F631" i="1"/>
  <c r="F623" i="1"/>
  <c r="F615" i="1"/>
  <c r="F607" i="1"/>
  <c r="F599" i="1"/>
  <c r="F591" i="1"/>
  <c r="F583" i="1"/>
  <c r="F575" i="1"/>
  <c r="F567" i="1"/>
  <c r="F559" i="1"/>
  <c r="F551" i="1"/>
  <c r="F543" i="1"/>
  <c r="F535" i="1"/>
  <c r="F527" i="1"/>
  <c r="F519" i="1"/>
  <c r="F511" i="1"/>
  <c r="F503" i="1"/>
  <c r="F495" i="1"/>
  <c r="F487" i="1"/>
  <c r="F479" i="1"/>
  <c r="F618" i="1"/>
  <c r="F610" i="1"/>
  <c r="F602" i="1"/>
  <c r="F594" i="1"/>
  <c r="F586" i="1"/>
  <c r="F578" i="1"/>
  <c r="F570" i="1"/>
  <c r="F562" i="1"/>
  <c r="F554" i="1"/>
  <c r="F546" i="1"/>
  <c r="F538" i="1"/>
  <c r="F530" i="1"/>
  <c r="F522" i="1"/>
  <c r="F514" i="1"/>
  <c r="F506" i="1"/>
  <c r="F498" i="1"/>
  <c r="F490" i="1"/>
  <c r="F482" i="1"/>
  <c r="F474" i="1"/>
  <c r="F466" i="1"/>
  <c r="F458" i="1"/>
  <c r="F450" i="1"/>
  <c r="F442" i="1"/>
  <c r="F434" i="1"/>
  <c r="F426" i="1"/>
  <c r="F418" i="1"/>
  <c r="F410" i="1"/>
  <c r="F402" i="1"/>
  <c r="F394" i="1"/>
  <c r="F386" i="1"/>
  <c r="F378" i="1"/>
  <c r="F370" i="1"/>
  <c r="F362" i="1"/>
  <c r="F354" i="1"/>
  <c r="F346" i="1"/>
  <c r="F338" i="1"/>
  <c r="F330" i="1"/>
  <c r="F322" i="1"/>
  <c r="F314" i="1"/>
  <c r="F306" i="1"/>
  <c r="F298" i="1"/>
  <c r="F290" i="1"/>
  <c r="F282" i="1"/>
  <c r="F274" i="1"/>
  <c r="F266" i="1"/>
  <c r="F258" i="1"/>
  <c r="F250" i="1"/>
  <c r="F242" i="1"/>
  <c r="F234" i="1"/>
  <c r="F226" i="1"/>
  <c r="F218" i="1"/>
  <c r="F210" i="1"/>
  <c r="F202" i="1"/>
  <c r="F194" i="1"/>
  <c r="F186" i="1"/>
  <c r="F178" i="1"/>
  <c r="F170" i="1"/>
  <c r="F162" i="1"/>
  <c r="F154" i="1"/>
  <c r="F146" i="1"/>
  <c r="F138" i="1"/>
  <c r="F130" i="1"/>
  <c r="F122" i="1"/>
  <c r="F114" i="1"/>
  <c r="F106" i="1"/>
  <c r="F98" i="1"/>
  <c r="F90" i="1"/>
  <c r="F82" i="1"/>
  <c r="F74" i="1"/>
  <c r="F66" i="1"/>
  <c r="F58" i="1"/>
  <c r="F50" i="1"/>
  <c r="F42" i="1"/>
  <c r="F34" i="1"/>
  <c r="F26" i="1"/>
  <c r="F18" i="1"/>
  <c r="F10" i="1"/>
  <c r="F1393" i="1"/>
  <c r="F633" i="1"/>
  <c r="F617" i="1"/>
  <c r="F609" i="1"/>
  <c r="F601" i="1"/>
  <c r="F593" i="1"/>
  <c r="F585" i="1"/>
  <c r="F577" i="1"/>
  <c r="F569" i="1"/>
  <c r="F561" i="1"/>
  <c r="F553" i="1"/>
  <c r="F545" i="1"/>
  <c r="F537" i="1"/>
  <c r="F529" i="1"/>
  <c r="F521" i="1"/>
  <c r="F513" i="1"/>
  <c r="F505" i="1"/>
  <c r="F497" i="1"/>
  <c r="F489" i="1"/>
  <c r="F481" i="1"/>
  <c r="F473" i="1"/>
  <c r="F465" i="1"/>
  <c r="F457" i="1"/>
  <c r="F449" i="1"/>
  <c r="F441" i="1"/>
  <c r="F433" i="1"/>
  <c r="F425" i="1"/>
  <c r="F417" i="1"/>
  <c r="F409" i="1"/>
  <c r="F401" i="1"/>
  <c r="F393" i="1"/>
  <c r="F385" i="1"/>
  <c r="F377" i="1"/>
  <c r="F369" i="1"/>
  <c r="F361" i="1"/>
  <c r="F353" i="1"/>
  <c r="F345" i="1"/>
  <c r="F337" i="1"/>
  <c r="F329" i="1"/>
  <c r="F321" i="1"/>
  <c r="F313" i="1"/>
  <c r="F305" i="1"/>
  <c r="F297" i="1"/>
  <c r="F289" i="1"/>
  <c r="F281" i="1"/>
  <c r="F273" i="1"/>
  <c r="F265" i="1"/>
  <c r="F257" i="1"/>
  <c r="F249" i="1"/>
  <c r="F241" i="1"/>
  <c r="F233" i="1"/>
  <c r="F225" i="1"/>
  <c r="F217" i="1"/>
  <c r="F209" i="1"/>
  <c r="F201" i="1"/>
  <c r="F193" i="1"/>
  <c r="F185" i="1"/>
  <c r="F177" i="1"/>
  <c r="F169" i="1"/>
  <c r="F161" i="1"/>
  <c r="F153" i="1"/>
  <c r="F145" i="1"/>
  <c r="F137" i="1"/>
  <c r="F129" i="1"/>
  <c r="F121" i="1"/>
  <c r="F113" i="1"/>
  <c r="F105" i="1"/>
  <c r="F97" i="1"/>
  <c r="F89" i="1"/>
  <c r="F81" i="1"/>
  <c r="F73" i="1"/>
  <c r="F65" i="1"/>
  <c r="F57" i="1"/>
  <c r="F49" i="1"/>
  <c r="F41" i="1"/>
  <c r="F33" i="1"/>
  <c r="F25" i="1"/>
  <c r="F17" i="1"/>
  <c r="F9" i="1"/>
  <c r="F480" i="1"/>
  <c r="F464" i="1"/>
  <c r="F448" i="1"/>
  <c r="F432" i="1"/>
  <c r="F424" i="1"/>
  <c r="F416" i="1"/>
  <c r="F408" i="1"/>
  <c r="F400" i="1"/>
  <c r="F392" i="1"/>
  <c r="F384" i="1"/>
  <c r="F376" i="1"/>
  <c r="F368" i="1"/>
  <c r="F360" i="1"/>
  <c r="F352" i="1"/>
  <c r="F344" i="1"/>
  <c r="F336" i="1"/>
  <c r="F328" i="1"/>
  <c r="F320" i="1"/>
  <c r="F312" i="1"/>
  <c r="F304" i="1"/>
  <c r="F296" i="1"/>
  <c r="F288" i="1"/>
  <c r="F280" i="1"/>
  <c r="F272" i="1"/>
  <c r="F264" i="1"/>
  <c r="F256" i="1"/>
  <c r="F248" i="1"/>
  <c r="F240" i="1"/>
  <c r="F232" i="1"/>
  <c r="F224" i="1"/>
  <c r="F216" i="1"/>
  <c r="F208" i="1"/>
  <c r="F200" i="1"/>
  <c r="F192" i="1"/>
  <c r="F184" i="1"/>
  <c r="F176" i="1"/>
  <c r="F168" i="1"/>
  <c r="F160" i="1"/>
  <c r="F152" i="1"/>
  <c r="F144" i="1"/>
  <c r="F136" i="1"/>
  <c r="F128" i="1"/>
  <c r="F120" i="1"/>
  <c r="F112" i="1"/>
  <c r="F104" i="1"/>
  <c r="F96" i="1"/>
  <c r="F88" i="1"/>
  <c r="F80" i="1"/>
  <c r="F72" i="1"/>
  <c r="F64" i="1"/>
  <c r="F56" i="1"/>
  <c r="F48" i="1"/>
  <c r="F40" i="1"/>
  <c r="F32" i="1"/>
  <c r="F24" i="1"/>
  <c r="F16" i="1"/>
  <c r="F8" i="1"/>
  <c r="F471" i="1"/>
  <c r="F463" i="1"/>
  <c r="F455" i="1"/>
  <c r="F447" i="1"/>
  <c r="F439" i="1"/>
  <c r="F431" i="1"/>
  <c r="F423" i="1"/>
  <c r="F415" i="1"/>
  <c r="F407" i="1"/>
  <c r="F399" i="1"/>
  <c r="F391" i="1"/>
  <c r="F383" i="1"/>
  <c r="F375" i="1"/>
  <c r="F367" i="1"/>
  <c r="F359" i="1"/>
  <c r="F351" i="1"/>
  <c r="F343" i="1"/>
  <c r="F335" i="1"/>
  <c r="F327" i="1"/>
  <c r="F319" i="1"/>
  <c r="F311" i="1"/>
  <c r="F303" i="1"/>
  <c r="F295" i="1"/>
  <c r="F287" i="1"/>
  <c r="F279" i="1"/>
  <c r="F271" i="1"/>
  <c r="F263" i="1"/>
  <c r="F255" i="1"/>
  <c r="F247" i="1"/>
  <c r="F239" i="1"/>
  <c r="F231" i="1"/>
  <c r="F223" i="1"/>
  <c r="F215" i="1"/>
  <c r="F207" i="1"/>
  <c r="F199" i="1"/>
  <c r="F191" i="1"/>
  <c r="F183" i="1"/>
  <c r="F175" i="1"/>
  <c r="F167" i="1"/>
  <c r="F159" i="1"/>
  <c r="F151" i="1"/>
  <c r="F143" i="1"/>
  <c r="F135" i="1"/>
  <c r="F127" i="1"/>
  <c r="F119" i="1"/>
  <c r="F111" i="1"/>
  <c r="F103" i="1"/>
  <c r="F95" i="1"/>
  <c r="F87" i="1"/>
  <c r="F79" i="1"/>
  <c r="F71" i="1"/>
  <c r="F63" i="1"/>
  <c r="F55" i="1"/>
  <c r="F47" i="1"/>
  <c r="F39" i="1"/>
  <c r="F31" i="1"/>
  <c r="F23" i="1"/>
  <c r="F15" i="1"/>
  <c r="F622" i="1"/>
  <c r="F614" i="1"/>
  <c r="F606" i="1"/>
  <c r="F598" i="1"/>
  <c r="F590" i="1"/>
  <c r="F582" i="1"/>
  <c r="F574" i="1"/>
  <c r="F566" i="1"/>
  <c r="F558" i="1"/>
  <c r="F550" i="1"/>
  <c r="F542" i="1"/>
  <c r="F534" i="1"/>
  <c r="F526" i="1"/>
  <c r="F518" i="1"/>
  <c r="F510" i="1"/>
  <c r="F502" i="1"/>
  <c r="F494" i="1"/>
  <c r="F486" i="1"/>
  <c r="F478" i="1"/>
  <c r="F470" i="1"/>
  <c r="F462" i="1"/>
  <c r="F454" i="1"/>
  <c r="F446" i="1"/>
  <c r="F438" i="1"/>
  <c r="F430" i="1"/>
  <c r="F422" i="1"/>
  <c r="F414" i="1"/>
  <c r="F406" i="1"/>
  <c r="F398" i="1"/>
  <c r="F390" i="1"/>
  <c r="F382" i="1"/>
  <c r="F374" i="1"/>
  <c r="F366" i="1"/>
  <c r="F358" i="1"/>
  <c r="F350" i="1"/>
  <c r="F342" i="1"/>
  <c r="F334" i="1"/>
  <c r="F326" i="1"/>
  <c r="F318" i="1"/>
  <c r="F310" i="1"/>
  <c r="F302" i="1"/>
  <c r="F294" i="1"/>
  <c r="F286" i="1"/>
  <c r="F278" i="1"/>
  <c r="F270" i="1"/>
  <c r="F262" i="1"/>
  <c r="F254" i="1"/>
  <c r="F246" i="1"/>
  <c r="F238" i="1"/>
  <c r="F230" i="1"/>
  <c r="F222" i="1"/>
  <c r="F214" i="1"/>
  <c r="F206" i="1"/>
  <c r="F198" i="1"/>
  <c r="F190" i="1"/>
  <c r="F182" i="1"/>
  <c r="F174" i="1"/>
  <c r="F166" i="1"/>
  <c r="F158" i="1"/>
  <c r="F150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14" i="1"/>
  <c r="F629" i="1"/>
  <c r="F613" i="1"/>
  <c r="F597" i="1"/>
  <c r="F581" i="1"/>
  <c r="F565" i="1"/>
  <c r="F549" i="1"/>
  <c r="F533" i="1"/>
  <c r="F517" i="1"/>
  <c r="F501" i="1"/>
  <c r="F485" i="1"/>
  <c r="F469" i="1"/>
  <c r="F453" i="1"/>
  <c r="F437" i="1"/>
  <c r="F429" i="1"/>
  <c r="F421" i="1"/>
  <c r="F413" i="1"/>
  <c r="F405" i="1"/>
  <c r="F397" i="1"/>
  <c r="F389" i="1"/>
  <c r="F381" i="1"/>
  <c r="F373" i="1"/>
  <c r="F365" i="1"/>
  <c r="F357" i="1"/>
  <c r="F349" i="1"/>
  <c r="F341" i="1"/>
  <c r="F333" i="1"/>
  <c r="F325" i="1"/>
  <c r="F317" i="1"/>
  <c r="F309" i="1"/>
  <c r="F301" i="1"/>
  <c r="F293" i="1"/>
  <c r="F285" i="1"/>
  <c r="F277" i="1"/>
  <c r="F269" i="1"/>
  <c r="F261" i="1"/>
  <c r="F253" i="1"/>
  <c r="F245" i="1"/>
  <c r="F237" i="1"/>
  <c r="F229" i="1"/>
  <c r="F221" i="1"/>
  <c r="F213" i="1"/>
  <c r="F205" i="1"/>
  <c r="F197" i="1"/>
  <c r="F189" i="1"/>
  <c r="F181" i="1"/>
  <c r="F173" i="1"/>
  <c r="F165" i="1"/>
  <c r="F157" i="1"/>
  <c r="F149" i="1"/>
  <c r="F141" i="1"/>
  <c r="F133" i="1"/>
  <c r="F125" i="1"/>
  <c r="F117" i="1"/>
  <c r="F109" i="1"/>
  <c r="F101" i="1"/>
  <c r="F93" i="1"/>
  <c r="F85" i="1"/>
  <c r="F77" i="1"/>
  <c r="F69" i="1"/>
  <c r="F61" i="1"/>
  <c r="F53" i="1"/>
  <c r="F45" i="1"/>
  <c r="F37" i="1"/>
  <c r="F29" i="1"/>
  <c r="F21" i="1"/>
  <c r="F13" i="1"/>
  <c r="F1484" i="1"/>
  <c r="F1476" i="1"/>
  <c r="F1468" i="1"/>
  <c r="F1460" i="1"/>
  <c r="F1452" i="1"/>
  <c r="F1444" i="1"/>
  <c r="F1436" i="1"/>
  <c r="F1428" i="1"/>
  <c r="F1420" i="1"/>
  <c r="F1412" i="1"/>
  <c r="F1404" i="1"/>
  <c r="F1396" i="1"/>
  <c r="F628" i="1"/>
  <c r="F620" i="1"/>
  <c r="F612" i="1"/>
  <c r="F604" i="1"/>
  <c r="F596" i="1"/>
  <c r="F588" i="1"/>
  <c r="F580" i="1"/>
  <c r="F572" i="1"/>
  <c r="F564" i="1"/>
  <c r="F556" i="1"/>
  <c r="F548" i="1"/>
  <c r="F540" i="1"/>
  <c r="F532" i="1"/>
  <c r="F524" i="1"/>
  <c r="F516" i="1"/>
  <c r="F508" i="1"/>
  <c r="F500" i="1"/>
  <c r="F492" i="1"/>
  <c r="F484" i="1"/>
  <c r="F476" i="1"/>
  <c r="F468" i="1"/>
  <c r="F460" i="1"/>
  <c r="F452" i="1"/>
  <c r="F444" i="1"/>
  <c r="F436" i="1"/>
  <c r="F236" i="1"/>
  <c r="F228" i="1"/>
  <c r="F220" i="1"/>
  <c r="F212" i="1"/>
  <c r="F204" i="1"/>
  <c r="F196" i="1"/>
  <c r="F188" i="1"/>
  <c r="F180" i="1"/>
  <c r="F172" i="1"/>
  <c r="F164" i="1"/>
  <c r="F156" i="1"/>
  <c r="F148" i="1"/>
  <c r="F140" i="1"/>
  <c r="F132" i="1"/>
  <c r="F124" i="1"/>
  <c r="F116" i="1"/>
  <c r="F108" i="1"/>
  <c r="F100" i="1"/>
  <c r="F92" i="1"/>
  <c r="F84" i="1"/>
  <c r="F76" i="1"/>
  <c r="F68" i="1"/>
  <c r="F60" i="1"/>
  <c r="F52" i="1"/>
  <c r="F44" i="1"/>
  <c r="F36" i="1"/>
  <c r="F28" i="1"/>
  <c r="F20" i="1"/>
  <c r="F12" i="1"/>
  <c r="F683" i="1"/>
  <c r="F675" i="1"/>
  <c r="F667" i="1"/>
  <c r="F659" i="1"/>
  <c r="F651" i="1"/>
  <c r="F643" i="1"/>
  <c r="F635" i="1"/>
  <c r="F619" i="1"/>
  <c r="F603" i="1"/>
  <c r="F587" i="1"/>
  <c r="F571" i="1"/>
  <c r="F555" i="1"/>
  <c r="F539" i="1"/>
  <c r="F523" i="1"/>
  <c r="F507" i="1"/>
  <c r="F491" i="1"/>
  <c r="F475" i="1"/>
  <c r="F459" i="1"/>
  <c r="F443" i="1"/>
  <c r="F427" i="1"/>
  <c r="F419" i="1"/>
  <c r="F411" i="1"/>
  <c r="F403" i="1"/>
  <c r="F395" i="1"/>
  <c r="F387" i="1"/>
  <c r="F379" i="1"/>
  <c r="F371" i="1"/>
  <c r="F363" i="1"/>
  <c r="F355" i="1"/>
  <c r="F347" i="1"/>
  <c r="F339" i="1"/>
  <c r="F331" i="1"/>
  <c r="F323" i="1"/>
  <c r="F315" i="1"/>
  <c r="F307" i="1"/>
  <c r="F299" i="1"/>
  <c r="F291" i="1"/>
  <c r="F283" i="1"/>
  <c r="F275" i="1"/>
  <c r="F267" i="1"/>
  <c r="F259" i="1"/>
  <c r="F251" i="1"/>
  <c r="F243" i="1"/>
  <c r="F235" i="1"/>
  <c r="F227" i="1"/>
  <c r="F219" i="1"/>
  <c r="F211" i="1"/>
  <c r="F203" i="1"/>
  <c r="F195" i="1"/>
  <c r="F187" i="1"/>
  <c r="F179" i="1"/>
  <c r="F171" i="1"/>
  <c r="F163" i="1"/>
  <c r="F155" i="1"/>
  <c r="F147" i="1"/>
  <c r="F139" i="1"/>
  <c r="F131" i="1"/>
  <c r="F123" i="1"/>
  <c r="F115" i="1"/>
  <c r="F107" i="1"/>
  <c r="F99" i="1"/>
  <c r="F91" i="1"/>
  <c r="F83" i="1"/>
  <c r="F75" i="1"/>
  <c r="F67" i="1"/>
  <c r="F59" i="1"/>
  <c r="F51" i="1"/>
  <c r="F43" i="1"/>
  <c r="F35" i="1"/>
  <c r="F27" i="1"/>
  <c r="F19" i="1"/>
  <c r="F11" i="1"/>
  <c r="F1568" i="1"/>
  <c r="F1567" i="1"/>
  <c r="F1566" i="1"/>
  <c r="K2" i="1"/>
  <c r="F1388" i="1"/>
  <c r="N2" i="1" l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L3" i="1"/>
  <c r="M3" i="1"/>
  <c r="K3" i="1"/>
  <c r="N3" i="1" l="1"/>
</calcChain>
</file>

<file path=xl/sharedStrings.xml><?xml version="1.0" encoding="utf-8"?>
<sst xmlns="http://schemas.openxmlformats.org/spreadsheetml/2006/main" count="15" uniqueCount="15">
  <si>
    <t>Date</t>
  </si>
  <si>
    <t>Close</t>
  </si>
  <si>
    <t>MA</t>
  </si>
  <si>
    <t>Ann. Ret.</t>
  </si>
  <si>
    <t>Ann. Std.</t>
  </si>
  <si>
    <t>Sum Ret.</t>
  </si>
  <si>
    <t>B&amp;H</t>
  </si>
  <si>
    <t>Strategy</t>
  </si>
  <si>
    <t>B&amp;H Index</t>
  </si>
  <si>
    <t>Strat Index</t>
  </si>
  <si>
    <t>Return</t>
  </si>
  <si>
    <t>Above?</t>
  </si>
  <si>
    <t>Trade</t>
  </si>
  <si>
    <t>Pseudo Sharpe</t>
  </si>
  <si>
    <t xml:space="preserve">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</si>
</sst>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6DBE1"/>
      <color rgb="FF0021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'Bitcoin MA model'!$G$1</c:f>
              <c:strCache>
                <c:ptCount val="1"/>
                <c:pt idx="0">
                  <c:v>B&amp;H Index</c:v>
                </c:pt>
              </c:strCache>
            </c:strRef>
          </c:tx>
          <c:marker>
            <c:symbol val="none"/>
          </c:marker>
          <c:cat>
            <c:numRef>
              <c:f>'Bitcoin MA model'!$A$2:$A$1802</c:f>
              <c:numCache>
                <c:formatCode>m/d/yyyy</c:formatCode>
                <c:ptCount val="1801"/>
                <c:pt idx="0">
                  <c:v>42552</c:v>
                </c:pt>
                <c:pt idx="1">
                  <c:v>42553</c:v>
                </c:pt>
                <c:pt idx="2">
                  <c:v>42554</c:v>
                </c:pt>
                <c:pt idx="3">
                  <c:v>42555</c:v>
                </c:pt>
                <c:pt idx="4">
                  <c:v>42556</c:v>
                </c:pt>
                <c:pt idx="5">
                  <c:v>42557</c:v>
                </c:pt>
                <c:pt idx="6">
                  <c:v>42558</c:v>
                </c:pt>
                <c:pt idx="7">
                  <c:v>42559</c:v>
                </c:pt>
                <c:pt idx="8">
                  <c:v>42560</c:v>
                </c:pt>
                <c:pt idx="9">
                  <c:v>42561</c:v>
                </c:pt>
                <c:pt idx="10">
                  <c:v>42562</c:v>
                </c:pt>
                <c:pt idx="11">
                  <c:v>42563</c:v>
                </c:pt>
                <c:pt idx="12">
                  <c:v>42564</c:v>
                </c:pt>
                <c:pt idx="13">
                  <c:v>42565</c:v>
                </c:pt>
                <c:pt idx="14">
                  <c:v>42566</c:v>
                </c:pt>
                <c:pt idx="15">
                  <c:v>42567</c:v>
                </c:pt>
                <c:pt idx="16">
                  <c:v>42568</c:v>
                </c:pt>
                <c:pt idx="17">
                  <c:v>42569</c:v>
                </c:pt>
                <c:pt idx="18">
                  <c:v>42570</c:v>
                </c:pt>
                <c:pt idx="19">
                  <c:v>42571</c:v>
                </c:pt>
                <c:pt idx="20">
                  <c:v>42572</c:v>
                </c:pt>
                <c:pt idx="21">
                  <c:v>42573</c:v>
                </c:pt>
                <c:pt idx="22">
                  <c:v>42574</c:v>
                </c:pt>
                <c:pt idx="23">
                  <c:v>42575</c:v>
                </c:pt>
                <c:pt idx="24">
                  <c:v>42576</c:v>
                </c:pt>
                <c:pt idx="25">
                  <c:v>42577</c:v>
                </c:pt>
                <c:pt idx="26">
                  <c:v>42578</c:v>
                </c:pt>
                <c:pt idx="27">
                  <c:v>42579</c:v>
                </c:pt>
                <c:pt idx="28">
                  <c:v>42580</c:v>
                </c:pt>
                <c:pt idx="29">
                  <c:v>42581</c:v>
                </c:pt>
                <c:pt idx="30">
                  <c:v>42582</c:v>
                </c:pt>
                <c:pt idx="31">
                  <c:v>42583</c:v>
                </c:pt>
                <c:pt idx="32">
                  <c:v>42584</c:v>
                </c:pt>
                <c:pt idx="33">
                  <c:v>42585</c:v>
                </c:pt>
                <c:pt idx="34">
                  <c:v>42586</c:v>
                </c:pt>
                <c:pt idx="35">
                  <c:v>42587</c:v>
                </c:pt>
                <c:pt idx="36">
                  <c:v>42588</c:v>
                </c:pt>
                <c:pt idx="37">
                  <c:v>42589</c:v>
                </c:pt>
                <c:pt idx="38">
                  <c:v>42590</c:v>
                </c:pt>
                <c:pt idx="39">
                  <c:v>42591</c:v>
                </c:pt>
                <c:pt idx="40">
                  <c:v>42592</c:v>
                </c:pt>
                <c:pt idx="41">
                  <c:v>42593</c:v>
                </c:pt>
                <c:pt idx="42">
                  <c:v>42594</c:v>
                </c:pt>
                <c:pt idx="43">
                  <c:v>42595</c:v>
                </c:pt>
                <c:pt idx="44">
                  <c:v>42596</c:v>
                </c:pt>
                <c:pt idx="45">
                  <c:v>42597</c:v>
                </c:pt>
                <c:pt idx="46">
                  <c:v>42598</c:v>
                </c:pt>
                <c:pt idx="47">
                  <c:v>42599</c:v>
                </c:pt>
                <c:pt idx="48">
                  <c:v>42600</c:v>
                </c:pt>
                <c:pt idx="49">
                  <c:v>42601</c:v>
                </c:pt>
                <c:pt idx="50">
                  <c:v>42602</c:v>
                </c:pt>
                <c:pt idx="51">
                  <c:v>42603</c:v>
                </c:pt>
                <c:pt idx="52">
                  <c:v>42604</c:v>
                </c:pt>
                <c:pt idx="53">
                  <c:v>42605</c:v>
                </c:pt>
                <c:pt idx="54">
                  <c:v>42606</c:v>
                </c:pt>
                <c:pt idx="55">
                  <c:v>42607</c:v>
                </c:pt>
                <c:pt idx="56">
                  <c:v>42608</c:v>
                </c:pt>
                <c:pt idx="57">
                  <c:v>42609</c:v>
                </c:pt>
                <c:pt idx="58">
                  <c:v>42610</c:v>
                </c:pt>
                <c:pt idx="59">
                  <c:v>42611</c:v>
                </c:pt>
                <c:pt idx="60">
                  <c:v>42612</c:v>
                </c:pt>
                <c:pt idx="61">
                  <c:v>42613</c:v>
                </c:pt>
                <c:pt idx="62">
                  <c:v>42614</c:v>
                </c:pt>
                <c:pt idx="63">
                  <c:v>42615</c:v>
                </c:pt>
                <c:pt idx="64">
                  <c:v>42616</c:v>
                </c:pt>
                <c:pt idx="65">
                  <c:v>42617</c:v>
                </c:pt>
                <c:pt idx="66">
                  <c:v>42618</c:v>
                </c:pt>
                <c:pt idx="67">
                  <c:v>42619</c:v>
                </c:pt>
                <c:pt idx="68">
                  <c:v>42620</c:v>
                </c:pt>
                <c:pt idx="69">
                  <c:v>42621</c:v>
                </c:pt>
                <c:pt idx="70">
                  <c:v>42622</c:v>
                </c:pt>
                <c:pt idx="71">
                  <c:v>42623</c:v>
                </c:pt>
                <c:pt idx="72">
                  <c:v>42624</c:v>
                </c:pt>
                <c:pt idx="73">
                  <c:v>42625</c:v>
                </c:pt>
                <c:pt idx="74">
                  <c:v>42626</c:v>
                </c:pt>
                <c:pt idx="75">
                  <c:v>42627</c:v>
                </c:pt>
                <c:pt idx="76">
                  <c:v>42628</c:v>
                </c:pt>
                <c:pt idx="77">
                  <c:v>42629</c:v>
                </c:pt>
                <c:pt idx="78">
                  <c:v>42630</c:v>
                </c:pt>
                <c:pt idx="79">
                  <c:v>42631</c:v>
                </c:pt>
                <c:pt idx="80">
                  <c:v>42632</c:v>
                </c:pt>
                <c:pt idx="81">
                  <c:v>42633</c:v>
                </c:pt>
                <c:pt idx="82">
                  <c:v>42634</c:v>
                </c:pt>
                <c:pt idx="83">
                  <c:v>42635</c:v>
                </c:pt>
                <c:pt idx="84">
                  <c:v>42636</c:v>
                </c:pt>
                <c:pt idx="85">
                  <c:v>42637</c:v>
                </c:pt>
                <c:pt idx="86">
                  <c:v>42638</c:v>
                </c:pt>
                <c:pt idx="87">
                  <c:v>42639</c:v>
                </c:pt>
                <c:pt idx="88">
                  <c:v>42640</c:v>
                </c:pt>
                <c:pt idx="89">
                  <c:v>42641</c:v>
                </c:pt>
                <c:pt idx="90">
                  <c:v>42642</c:v>
                </c:pt>
                <c:pt idx="91">
                  <c:v>42643</c:v>
                </c:pt>
                <c:pt idx="92">
                  <c:v>42644</c:v>
                </c:pt>
                <c:pt idx="93">
                  <c:v>42645</c:v>
                </c:pt>
                <c:pt idx="94">
                  <c:v>42646</c:v>
                </c:pt>
                <c:pt idx="95">
                  <c:v>42647</c:v>
                </c:pt>
                <c:pt idx="96">
                  <c:v>42648</c:v>
                </c:pt>
                <c:pt idx="97">
                  <c:v>42649</c:v>
                </c:pt>
                <c:pt idx="98">
                  <c:v>42650</c:v>
                </c:pt>
                <c:pt idx="99">
                  <c:v>42651</c:v>
                </c:pt>
                <c:pt idx="100">
                  <c:v>42652</c:v>
                </c:pt>
                <c:pt idx="101">
                  <c:v>42653</c:v>
                </c:pt>
                <c:pt idx="102">
                  <c:v>42654</c:v>
                </c:pt>
                <c:pt idx="103">
                  <c:v>42655</c:v>
                </c:pt>
                <c:pt idx="104">
                  <c:v>42656</c:v>
                </c:pt>
                <c:pt idx="105">
                  <c:v>42657</c:v>
                </c:pt>
                <c:pt idx="106">
                  <c:v>42658</c:v>
                </c:pt>
                <c:pt idx="107">
                  <c:v>42659</c:v>
                </c:pt>
                <c:pt idx="108">
                  <c:v>42660</c:v>
                </c:pt>
                <c:pt idx="109">
                  <c:v>42661</c:v>
                </c:pt>
                <c:pt idx="110">
                  <c:v>42662</c:v>
                </c:pt>
                <c:pt idx="111">
                  <c:v>42663</c:v>
                </c:pt>
                <c:pt idx="112">
                  <c:v>42664</c:v>
                </c:pt>
                <c:pt idx="113">
                  <c:v>42665</c:v>
                </c:pt>
                <c:pt idx="114">
                  <c:v>42666</c:v>
                </c:pt>
                <c:pt idx="115">
                  <c:v>42667</c:v>
                </c:pt>
                <c:pt idx="116">
                  <c:v>42668</c:v>
                </c:pt>
                <c:pt idx="117">
                  <c:v>42669</c:v>
                </c:pt>
                <c:pt idx="118">
                  <c:v>42670</c:v>
                </c:pt>
                <c:pt idx="119">
                  <c:v>42671</c:v>
                </c:pt>
                <c:pt idx="120">
                  <c:v>42672</c:v>
                </c:pt>
                <c:pt idx="121">
                  <c:v>42673</c:v>
                </c:pt>
                <c:pt idx="122">
                  <c:v>42674</c:v>
                </c:pt>
                <c:pt idx="123">
                  <c:v>42675</c:v>
                </c:pt>
                <c:pt idx="124">
                  <c:v>42676</c:v>
                </c:pt>
                <c:pt idx="125">
                  <c:v>42677</c:v>
                </c:pt>
                <c:pt idx="126">
                  <c:v>42678</c:v>
                </c:pt>
                <c:pt idx="127">
                  <c:v>42679</c:v>
                </c:pt>
                <c:pt idx="128">
                  <c:v>42680</c:v>
                </c:pt>
                <c:pt idx="129">
                  <c:v>42681</c:v>
                </c:pt>
                <c:pt idx="130">
                  <c:v>42682</c:v>
                </c:pt>
                <c:pt idx="131">
                  <c:v>42683</c:v>
                </c:pt>
                <c:pt idx="132">
                  <c:v>42684</c:v>
                </c:pt>
                <c:pt idx="133">
                  <c:v>42685</c:v>
                </c:pt>
                <c:pt idx="134">
                  <c:v>42686</c:v>
                </c:pt>
                <c:pt idx="135">
                  <c:v>42687</c:v>
                </c:pt>
                <c:pt idx="136">
                  <c:v>42688</c:v>
                </c:pt>
                <c:pt idx="137">
                  <c:v>42689</c:v>
                </c:pt>
                <c:pt idx="138">
                  <c:v>42690</c:v>
                </c:pt>
                <c:pt idx="139">
                  <c:v>42691</c:v>
                </c:pt>
                <c:pt idx="140">
                  <c:v>42692</c:v>
                </c:pt>
                <c:pt idx="141">
                  <c:v>42693</c:v>
                </c:pt>
                <c:pt idx="142">
                  <c:v>42694</c:v>
                </c:pt>
                <c:pt idx="143">
                  <c:v>42695</c:v>
                </c:pt>
                <c:pt idx="144">
                  <c:v>42696</c:v>
                </c:pt>
                <c:pt idx="145">
                  <c:v>42697</c:v>
                </c:pt>
                <c:pt idx="146">
                  <c:v>42698</c:v>
                </c:pt>
                <c:pt idx="147">
                  <c:v>42699</c:v>
                </c:pt>
                <c:pt idx="148">
                  <c:v>42700</c:v>
                </c:pt>
                <c:pt idx="149">
                  <c:v>42701</c:v>
                </c:pt>
                <c:pt idx="150">
                  <c:v>42702</c:v>
                </c:pt>
                <c:pt idx="151">
                  <c:v>42703</c:v>
                </c:pt>
                <c:pt idx="152">
                  <c:v>42704</c:v>
                </c:pt>
                <c:pt idx="153">
                  <c:v>42705</c:v>
                </c:pt>
                <c:pt idx="154">
                  <c:v>42706</c:v>
                </c:pt>
                <c:pt idx="155">
                  <c:v>42707</c:v>
                </c:pt>
                <c:pt idx="156">
                  <c:v>42708</c:v>
                </c:pt>
                <c:pt idx="157">
                  <c:v>42709</c:v>
                </c:pt>
                <c:pt idx="158">
                  <c:v>42710</c:v>
                </c:pt>
                <c:pt idx="159">
                  <c:v>42711</c:v>
                </c:pt>
                <c:pt idx="160">
                  <c:v>42712</c:v>
                </c:pt>
                <c:pt idx="161">
                  <c:v>42713</c:v>
                </c:pt>
                <c:pt idx="162">
                  <c:v>42714</c:v>
                </c:pt>
                <c:pt idx="163">
                  <c:v>42715</c:v>
                </c:pt>
                <c:pt idx="164">
                  <c:v>42716</c:v>
                </c:pt>
                <c:pt idx="165">
                  <c:v>42717</c:v>
                </c:pt>
                <c:pt idx="166">
                  <c:v>42718</c:v>
                </c:pt>
                <c:pt idx="167">
                  <c:v>42719</c:v>
                </c:pt>
                <c:pt idx="168">
                  <c:v>42720</c:v>
                </c:pt>
                <c:pt idx="169">
                  <c:v>42721</c:v>
                </c:pt>
                <c:pt idx="170">
                  <c:v>42722</c:v>
                </c:pt>
                <c:pt idx="171">
                  <c:v>42723</c:v>
                </c:pt>
                <c:pt idx="172">
                  <c:v>42724</c:v>
                </c:pt>
                <c:pt idx="173">
                  <c:v>42725</c:v>
                </c:pt>
                <c:pt idx="174">
                  <c:v>42726</c:v>
                </c:pt>
                <c:pt idx="175">
                  <c:v>42727</c:v>
                </c:pt>
                <c:pt idx="176">
                  <c:v>42728</c:v>
                </c:pt>
                <c:pt idx="177">
                  <c:v>42729</c:v>
                </c:pt>
                <c:pt idx="178">
                  <c:v>42730</c:v>
                </c:pt>
                <c:pt idx="179">
                  <c:v>42731</c:v>
                </c:pt>
                <c:pt idx="180">
                  <c:v>42732</c:v>
                </c:pt>
                <c:pt idx="181">
                  <c:v>42733</c:v>
                </c:pt>
                <c:pt idx="182">
                  <c:v>42734</c:v>
                </c:pt>
                <c:pt idx="183">
                  <c:v>42735</c:v>
                </c:pt>
                <c:pt idx="184">
                  <c:v>42736</c:v>
                </c:pt>
                <c:pt idx="185">
                  <c:v>42737</c:v>
                </c:pt>
                <c:pt idx="186">
                  <c:v>42738</c:v>
                </c:pt>
                <c:pt idx="187">
                  <c:v>42739</c:v>
                </c:pt>
                <c:pt idx="188">
                  <c:v>42740</c:v>
                </c:pt>
                <c:pt idx="189">
                  <c:v>42741</c:v>
                </c:pt>
                <c:pt idx="190">
                  <c:v>42742</c:v>
                </c:pt>
                <c:pt idx="191">
                  <c:v>42743</c:v>
                </c:pt>
                <c:pt idx="192">
                  <c:v>42744</c:v>
                </c:pt>
                <c:pt idx="193">
                  <c:v>42745</c:v>
                </c:pt>
                <c:pt idx="194">
                  <c:v>42746</c:v>
                </c:pt>
                <c:pt idx="195">
                  <c:v>42747</c:v>
                </c:pt>
                <c:pt idx="196">
                  <c:v>42748</c:v>
                </c:pt>
                <c:pt idx="197">
                  <c:v>42749</c:v>
                </c:pt>
                <c:pt idx="198">
                  <c:v>42750</c:v>
                </c:pt>
                <c:pt idx="199">
                  <c:v>42751</c:v>
                </c:pt>
                <c:pt idx="200">
                  <c:v>42752</c:v>
                </c:pt>
                <c:pt idx="201">
                  <c:v>42753</c:v>
                </c:pt>
                <c:pt idx="202">
                  <c:v>42754</c:v>
                </c:pt>
                <c:pt idx="203">
                  <c:v>42755</c:v>
                </c:pt>
                <c:pt idx="204">
                  <c:v>42756</c:v>
                </c:pt>
                <c:pt idx="205">
                  <c:v>42757</c:v>
                </c:pt>
                <c:pt idx="206">
                  <c:v>42758</c:v>
                </c:pt>
                <c:pt idx="207">
                  <c:v>42759</c:v>
                </c:pt>
                <c:pt idx="208">
                  <c:v>42760</c:v>
                </c:pt>
                <c:pt idx="209">
                  <c:v>42761</c:v>
                </c:pt>
                <c:pt idx="210">
                  <c:v>42762</c:v>
                </c:pt>
                <c:pt idx="211">
                  <c:v>42763</c:v>
                </c:pt>
                <c:pt idx="212">
                  <c:v>42764</c:v>
                </c:pt>
                <c:pt idx="213">
                  <c:v>42765</c:v>
                </c:pt>
                <c:pt idx="214">
                  <c:v>42766</c:v>
                </c:pt>
                <c:pt idx="215">
                  <c:v>42767</c:v>
                </c:pt>
                <c:pt idx="216">
                  <c:v>42768</c:v>
                </c:pt>
                <c:pt idx="217">
                  <c:v>42769</c:v>
                </c:pt>
                <c:pt idx="218">
                  <c:v>42770</c:v>
                </c:pt>
                <c:pt idx="219">
                  <c:v>42771</c:v>
                </c:pt>
                <c:pt idx="220">
                  <c:v>42772</c:v>
                </c:pt>
                <c:pt idx="221">
                  <c:v>42773</c:v>
                </c:pt>
                <c:pt idx="222">
                  <c:v>42774</c:v>
                </c:pt>
                <c:pt idx="223">
                  <c:v>42775</c:v>
                </c:pt>
                <c:pt idx="224">
                  <c:v>42776</c:v>
                </c:pt>
                <c:pt idx="225">
                  <c:v>42777</c:v>
                </c:pt>
                <c:pt idx="226">
                  <c:v>42778</c:v>
                </c:pt>
                <c:pt idx="227">
                  <c:v>42779</c:v>
                </c:pt>
                <c:pt idx="228">
                  <c:v>42780</c:v>
                </c:pt>
                <c:pt idx="229">
                  <c:v>42781</c:v>
                </c:pt>
                <c:pt idx="230">
                  <c:v>42782</c:v>
                </c:pt>
                <c:pt idx="231">
                  <c:v>42783</c:v>
                </c:pt>
                <c:pt idx="232">
                  <c:v>42784</c:v>
                </c:pt>
                <c:pt idx="233">
                  <c:v>42785</c:v>
                </c:pt>
                <c:pt idx="234">
                  <c:v>42786</c:v>
                </c:pt>
                <c:pt idx="235">
                  <c:v>42787</c:v>
                </c:pt>
                <c:pt idx="236">
                  <c:v>42788</c:v>
                </c:pt>
                <c:pt idx="237">
                  <c:v>42789</c:v>
                </c:pt>
                <c:pt idx="238">
                  <c:v>42790</c:v>
                </c:pt>
                <c:pt idx="239">
                  <c:v>42791</c:v>
                </c:pt>
                <c:pt idx="240">
                  <c:v>42792</c:v>
                </c:pt>
                <c:pt idx="241">
                  <c:v>42793</c:v>
                </c:pt>
                <c:pt idx="242">
                  <c:v>42794</c:v>
                </c:pt>
                <c:pt idx="243">
                  <c:v>42795</c:v>
                </c:pt>
                <c:pt idx="244">
                  <c:v>42796</c:v>
                </c:pt>
                <c:pt idx="245">
                  <c:v>42797</c:v>
                </c:pt>
                <c:pt idx="246">
                  <c:v>42798</c:v>
                </c:pt>
                <c:pt idx="247">
                  <c:v>42799</c:v>
                </c:pt>
                <c:pt idx="248">
                  <c:v>42800</c:v>
                </c:pt>
                <c:pt idx="249">
                  <c:v>42801</c:v>
                </c:pt>
                <c:pt idx="250">
                  <c:v>42802</c:v>
                </c:pt>
                <c:pt idx="251">
                  <c:v>42803</c:v>
                </c:pt>
                <c:pt idx="252">
                  <c:v>42804</c:v>
                </c:pt>
                <c:pt idx="253">
                  <c:v>42805</c:v>
                </c:pt>
                <c:pt idx="254">
                  <c:v>42806</c:v>
                </c:pt>
                <c:pt idx="255">
                  <c:v>42807</c:v>
                </c:pt>
                <c:pt idx="256">
                  <c:v>42808</c:v>
                </c:pt>
                <c:pt idx="257">
                  <c:v>42809</c:v>
                </c:pt>
                <c:pt idx="258">
                  <c:v>42810</c:v>
                </c:pt>
                <c:pt idx="259">
                  <c:v>42811</c:v>
                </c:pt>
                <c:pt idx="260">
                  <c:v>42812</c:v>
                </c:pt>
                <c:pt idx="261">
                  <c:v>42813</c:v>
                </c:pt>
                <c:pt idx="262">
                  <c:v>42814</c:v>
                </c:pt>
                <c:pt idx="263">
                  <c:v>42815</c:v>
                </c:pt>
                <c:pt idx="264">
                  <c:v>42816</c:v>
                </c:pt>
                <c:pt idx="265">
                  <c:v>42817</c:v>
                </c:pt>
                <c:pt idx="266">
                  <c:v>42818</c:v>
                </c:pt>
                <c:pt idx="267">
                  <c:v>42819</c:v>
                </c:pt>
                <c:pt idx="268">
                  <c:v>42820</c:v>
                </c:pt>
                <c:pt idx="269">
                  <c:v>42821</c:v>
                </c:pt>
                <c:pt idx="270">
                  <c:v>42822</c:v>
                </c:pt>
                <c:pt idx="271">
                  <c:v>42823</c:v>
                </c:pt>
                <c:pt idx="272">
                  <c:v>42824</c:v>
                </c:pt>
                <c:pt idx="273">
                  <c:v>42825</c:v>
                </c:pt>
                <c:pt idx="274">
                  <c:v>42826</c:v>
                </c:pt>
                <c:pt idx="275">
                  <c:v>42827</c:v>
                </c:pt>
                <c:pt idx="276">
                  <c:v>42828</c:v>
                </c:pt>
                <c:pt idx="277">
                  <c:v>42829</c:v>
                </c:pt>
                <c:pt idx="278">
                  <c:v>42830</c:v>
                </c:pt>
                <c:pt idx="279">
                  <c:v>42831</c:v>
                </c:pt>
                <c:pt idx="280">
                  <c:v>42832</c:v>
                </c:pt>
                <c:pt idx="281">
                  <c:v>42833</c:v>
                </c:pt>
                <c:pt idx="282">
                  <c:v>42834</c:v>
                </c:pt>
                <c:pt idx="283">
                  <c:v>42835</c:v>
                </c:pt>
                <c:pt idx="284">
                  <c:v>42836</c:v>
                </c:pt>
                <c:pt idx="285">
                  <c:v>42837</c:v>
                </c:pt>
                <c:pt idx="286">
                  <c:v>42838</c:v>
                </c:pt>
                <c:pt idx="287">
                  <c:v>42839</c:v>
                </c:pt>
                <c:pt idx="288">
                  <c:v>42840</c:v>
                </c:pt>
                <c:pt idx="289">
                  <c:v>42841</c:v>
                </c:pt>
                <c:pt idx="290">
                  <c:v>42842</c:v>
                </c:pt>
                <c:pt idx="291">
                  <c:v>42843</c:v>
                </c:pt>
                <c:pt idx="292">
                  <c:v>42844</c:v>
                </c:pt>
                <c:pt idx="293">
                  <c:v>42845</c:v>
                </c:pt>
                <c:pt idx="294">
                  <c:v>42846</c:v>
                </c:pt>
                <c:pt idx="295">
                  <c:v>42847</c:v>
                </c:pt>
                <c:pt idx="296">
                  <c:v>42848</c:v>
                </c:pt>
                <c:pt idx="297">
                  <c:v>42849</c:v>
                </c:pt>
                <c:pt idx="298">
                  <c:v>42850</c:v>
                </c:pt>
                <c:pt idx="299">
                  <c:v>42851</c:v>
                </c:pt>
                <c:pt idx="300">
                  <c:v>42852</c:v>
                </c:pt>
                <c:pt idx="301">
                  <c:v>42853</c:v>
                </c:pt>
                <c:pt idx="302">
                  <c:v>42854</c:v>
                </c:pt>
                <c:pt idx="303">
                  <c:v>42855</c:v>
                </c:pt>
                <c:pt idx="304">
                  <c:v>42856</c:v>
                </c:pt>
                <c:pt idx="305">
                  <c:v>42857</c:v>
                </c:pt>
                <c:pt idx="306">
                  <c:v>42858</c:v>
                </c:pt>
                <c:pt idx="307">
                  <c:v>42859</c:v>
                </c:pt>
                <c:pt idx="308">
                  <c:v>42860</c:v>
                </c:pt>
                <c:pt idx="309">
                  <c:v>42861</c:v>
                </c:pt>
                <c:pt idx="310">
                  <c:v>42862</c:v>
                </c:pt>
                <c:pt idx="311">
                  <c:v>42863</c:v>
                </c:pt>
                <c:pt idx="312">
                  <c:v>42864</c:v>
                </c:pt>
                <c:pt idx="313">
                  <c:v>42865</c:v>
                </c:pt>
                <c:pt idx="314">
                  <c:v>42866</c:v>
                </c:pt>
                <c:pt idx="315">
                  <c:v>42867</c:v>
                </c:pt>
                <c:pt idx="316">
                  <c:v>42868</c:v>
                </c:pt>
                <c:pt idx="317">
                  <c:v>42869</c:v>
                </c:pt>
                <c:pt idx="318">
                  <c:v>42870</c:v>
                </c:pt>
                <c:pt idx="319">
                  <c:v>42871</c:v>
                </c:pt>
                <c:pt idx="320">
                  <c:v>42872</c:v>
                </c:pt>
                <c:pt idx="321">
                  <c:v>42873</c:v>
                </c:pt>
                <c:pt idx="322">
                  <c:v>42874</c:v>
                </c:pt>
                <c:pt idx="323">
                  <c:v>42875</c:v>
                </c:pt>
                <c:pt idx="324">
                  <c:v>42876</c:v>
                </c:pt>
                <c:pt idx="325">
                  <c:v>42877</c:v>
                </c:pt>
                <c:pt idx="326">
                  <c:v>42878</c:v>
                </c:pt>
                <c:pt idx="327">
                  <c:v>42879</c:v>
                </c:pt>
                <c:pt idx="328">
                  <c:v>42880</c:v>
                </c:pt>
                <c:pt idx="329">
                  <c:v>42881</c:v>
                </c:pt>
                <c:pt idx="330">
                  <c:v>42882</c:v>
                </c:pt>
                <c:pt idx="331">
                  <c:v>42883</c:v>
                </c:pt>
                <c:pt idx="332">
                  <c:v>42884</c:v>
                </c:pt>
                <c:pt idx="333">
                  <c:v>42885</c:v>
                </c:pt>
                <c:pt idx="334">
                  <c:v>42886</c:v>
                </c:pt>
                <c:pt idx="335">
                  <c:v>42887</c:v>
                </c:pt>
                <c:pt idx="336">
                  <c:v>42888</c:v>
                </c:pt>
                <c:pt idx="337">
                  <c:v>42889</c:v>
                </c:pt>
                <c:pt idx="338">
                  <c:v>42890</c:v>
                </c:pt>
                <c:pt idx="339">
                  <c:v>42891</c:v>
                </c:pt>
                <c:pt idx="340">
                  <c:v>42892</c:v>
                </c:pt>
                <c:pt idx="341">
                  <c:v>42893</c:v>
                </c:pt>
                <c:pt idx="342">
                  <c:v>42894</c:v>
                </c:pt>
                <c:pt idx="343">
                  <c:v>42895</c:v>
                </c:pt>
                <c:pt idx="344">
                  <c:v>42896</c:v>
                </c:pt>
                <c:pt idx="345">
                  <c:v>42897</c:v>
                </c:pt>
                <c:pt idx="346">
                  <c:v>42898</c:v>
                </c:pt>
                <c:pt idx="347">
                  <c:v>42899</c:v>
                </c:pt>
                <c:pt idx="348">
                  <c:v>42900</c:v>
                </c:pt>
                <c:pt idx="349">
                  <c:v>42901</c:v>
                </c:pt>
                <c:pt idx="350">
                  <c:v>42902</c:v>
                </c:pt>
                <c:pt idx="351">
                  <c:v>42903</c:v>
                </c:pt>
                <c:pt idx="352">
                  <c:v>42904</c:v>
                </c:pt>
                <c:pt idx="353">
                  <c:v>42905</c:v>
                </c:pt>
                <c:pt idx="354">
                  <c:v>42906</c:v>
                </c:pt>
                <c:pt idx="355">
                  <c:v>42907</c:v>
                </c:pt>
                <c:pt idx="356">
                  <c:v>42908</c:v>
                </c:pt>
                <c:pt idx="357">
                  <c:v>42909</c:v>
                </c:pt>
                <c:pt idx="358">
                  <c:v>42910</c:v>
                </c:pt>
                <c:pt idx="359">
                  <c:v>42911</c:v>
                </c:pt>
                <c:pt idx="360">
                  <c:v>42912</c:v>
                </c:pt>
                <c:pt idx="361">
                  <c:v>42913</c:v>
                </c:pt>
                <c:pt idx="362">
                  <c:v>42914</c:v>
                </c:pt>
                <c:pt idx="363">
                  <c:v>42915</c:v>
                </c:pt>
                <c:pt idx="364">
                  <c:v>42916</c:v>
                </c:pt>
                <c:pt idx="365">
                  <c:v>42917</c:v>
                </c:pt>
                <c:pt idx="366">
                  <c:v>42918</c:v>
                </c:pt>
                <c:pt idx="367">
                  <c:v>42919</c:v>
                </c:pt>
                <c:pt idx="368">
                  <c:v>42920</c:v>
                </c:pt>
                <c:pt idx="369">
                  <c:v>42921</c:v>
                </c:pt>
                <c:pt idx="370">
                  <c:v>42922</c:v>
                </c:pt>
                <c:pt idx="371">
                  <c:v>42923</c:v>
                </c:pt>
                <c:pt idx="372">
                  <c:v>42924</c:v>
                </c:pt>
                <c:pt idx="373">
                  <c:v>42925</c:v>
                </c:pt>
                <c:pt idx="374">
                  <c:v>42926</c:v>
                </c:pt>
                <c:pt idx="375">
                  <c:v>42927</c:v>
                </c:pt>
                <c:pt idx="376">
                  <c:v>42928</c:v>
                </c:pt>
                <c:pt idx="377">
                  <c:v>42929</c:v>
                </c:pt>
                <c:pt idx="378">
                  <c:v>42930</c:v>
                </c:pt>
                <c:pt idx="379">
                  <c:v>42931</c:v>
                </c:pt>
                <c:pt idx="380">
                  <c:v>42932</c:v>
                </c:pt>
                <c:pt idx="381">
                  <c:v>42933</c:v>
                </c:pt>
                <c:pt idx="382">
                  <c:v>42934</c:v>
                </c:pt>
                <c:pt idx="383">
                  <c:v>42935</c:v>
                </c:pt>
                <c:pt idx="384">
                  <c:v>42936</c:v>
                </c:pt>
                <c:pt idx="385">
                  <c:v>42937</c:v>
                </c:pt>
                <c:pt idx="386">
                  <c:v>42938</c:v>
                </c:pt>
                <c:pt idx="387">
                  <c:v>42939</c:v>
                </c:pt>
                <c:pt idx="388">
                  <c:v>42940</c:v>
                </c:pt>
                <c:pt idx="389">
                  <c:v>42941</c:v>
                </c:pt>
                <c:pt idx="390">
                  <c:v>42942</c:v>
                </c:pt>
                <c:pt idx="391">
                  <c:v>42943</c:v>
                </c:pt>
                <c:pt idx="392">
                  <c:v>42944</c:v>
                </c:pt>
                <c:pt idx="393">
                  <c:v>42945</c:v>
                </c:pt>
                <c:pt idx="394">
                  <c:v>42946</c:v>
                </c:pt>
                <c:pt idx="395">
                  <c:v>42947</c:v>
                </c:pt>
                <c:pt idx="396">
                  <c:v>42948</c:v>
                </c:pt>
                <c:pt idx="397">
                  <c:v>42949</c:v>
                </c:pt>
                <c:pt idx="398">
                  <c:v>42950</c:v>
                </c:pt>
                <c:pt idx="399">
                  <c:v>42951</c:v>
                </c:pt>
                <c:pt idx="400">
                  <c:v>42952</c:v>
                </c:pt>
                <c:pt idx="401">
                  <c:v>42953</c:v>
                </c:pt>
                <c:pt idx="402">
                  <c:v>42954</c:v>
                </c:pt>
                <c:pt idx="403">
                  <c:v>42955</c:v>
                </c:pt>
                <c:pt idx="404">
                  <c:v>42956</c:v>
                </c:pt>
                <c:pt idx="405">
                  <c:v>42957</c:v>
                </c:pt>
                <c:pt idx="406">
                  <c:v>42958</c:v>
                </c:pt>
                <c:pt idx="407">
                  <c:v>42959</c:v>
                </c:pt>
                <c:pt idx="408">
                  <c:v>42960</c:v>
                </c:pt>
                <c:pt idx="409">
                  <c:v>42961</c:v>
                </c:pt>
                <c:pt idx="410">
                  <c:v>42962</c:v>
                </c:pt>
                <c:pt idx="411">
                  <c:v>42963</c:v>
                </c:pt>
                <c:pt idx="412">
                  <c:v>42964</c:v>
                </c:pt>
                <c:pt idx="413">
                  <c:v>42965</c:v>
                </c:pt>
                <c:pt idx="414">
                  <c:v>42966</c:v>
                </c:pt>
                <c:pt idx="415">
                  <c:v>42967</c:v>
                </c:pt>
                <c:pt idx="416">
                  <c:v>42968</c:v>
                </c:pt>
                <c:pt idx="417">
                  <c:v>42969</c:v>
                </c:pt>
                <c:pt idx="418">
                  <c:v>42970</c:v>
                </c:pt>
                <c:pt idx="419">
                  <c:v>42971</c:v>
                </c:pt>
                <c:pt idx="420">
                  <c:v>42972</c:v>
                </c:pt>
                <c:pt idx="421">
                  <c:v>42973</c:v>
                </c:pt>
                <c:pt idx="422">
                  <c:v>42974</c:v>
                </c:pt>
                <c:pt idx="423">
                  <c:v>42975</c:v>
                </c:pt>
                <c:pt idx="424">
                  <c:v>42976</c:v>
                </c:pt>
                <c:pt idx="425">
                  <c:v>42977</c:v>
                </c:pt>
                <c:pt idx="426">
                  <c:v>42978</c:v>
                </c:pt>
                <c:pt idx="427">
                  <c:v>42979</c:v>
                </c:pt>
                <c:pt idx="428">
                  <c:v>42980</c:v>
                </c:pt>
                <c:pt idx="429">
                  <c:v>42981</c:v>
                </c:pt>
                <c:pt idx="430">
                  <c:v>42982</c:v>
                </c:pt>
                <c:pt idx="431">
                  <c:v>42983</c:v>
                </c:pt>
                <c:pt idx="432">
                  <c:v>42984</c:v>
                </c:pt>
                <c:pt idx="433">
                  <c:v>42985</c:v>
                </c:pt>
                <c:pt idx="434">
                  <c:v>42986</c:v>
                </c:pt>
                <c:pt idx="435">
                  <c:v>42987</c:v>
                </c:pt>
                <c:pt idx="436">
                  <c:v>42988</c:v>
                </c:pt>
                <c:pt idx="437">
                  <c:v>42989</c:v>
                </c:pt>
                <c:pt idx="438">
                  <c:v>42990</c:v>
                </c:pt>
                <c:pt idx="439">
                  <c:v>42991</c:v>
                </c:pt>
                <c:pt idx="440">
                  <c:v>42992</c:v>
                </c:pt>
                <c:pt idx="441">
                  <c:v>42993</c:v>
                </c:pt>
                <c:pt idx="442">
                  <c:v>42994</c:v>
                </c:pt>
                <c:pt idx="443">
                  <c:v>42995</c:v>
                </c:pt>
                <c:pt idx="444">
                  <c:v>42996</c:v>
                </c:pt>
                <c:pt idx="445">
                  <c:v>42997</c:v>
                </c:pt>
                <c:pt idx="446">
                  <c:v>42998</c:v>
                </c:pt>
                <c:pt idx="447">
                  <c:v>42999</c:v>
                </c:pt>
                <c:pt idx="448">
                  <c:v>43000</c:v>
                </c:pt>
                <c:pt idx="449">
                  <c:v>43001</c:v>
                </c:pt>
                <c:pt idx="450">
                  <c:v>43002</c:v>
                </c:pt>
                <c:pt idx="451">
                  <c:v>43003</c:v>
                </c:pt>
                <c:pt idx="452">
                  <c:v>43004</c:v>
                </c:pt>
                <c:pt idx="453">
                  <c:v>43005</c:v>
                </c:pt>
                <c:pt idx="454">
                  <c:v>43006</c:v>
                </c:pt>
                <c:pt idx="455">
                  <c:v>43007</c:v>
                </c:pt>
                <c:pt idx="456">
                  <c:v>43008</c:v>
                </c:pt>
                <c:pt idx="457">
                  <c:v>43009</c:v>
                </c:pt>
                <c:pt idx="458">
                  <c:v>43010</c:v>
                </c:pt>
                <c:pt idx="459">
                  <c:v>43011</c:v>
                </c:pt>
                <c:pt idx="460">
                  <c:v>43012</c:v>
                </c:pt>
                <c:pt idx="461">
                  <c:v>43013</c:v>
                </c:pt>
                <c:pt idx="462">
                  <c:v>43014</c:v>
                </c:pt>
                <c:pt idx="463">
                  <c:v>43015</c:v>
                </c:pt>
                <c:pt idx="464">
                  <c:v>43016</c:v>
                </c:pt>
                <c:pt idx="465">
                  <c:v>43017</c:v>
                </c:pt>
                <c:pt idx="466">
                  <c:v>43018</c:v>
                </c:pt>
                <c:pt idx="467">
                  <c:v>43019</c:v>
                </c:pt>
                <c:pt idx="468">
                  <c:v>43020</c:v>
                </c:pt>
                <c:pt idx="469">
                  <c:v>43021</c:v>
                </c:pt>
                <c:pt idx="470">
                  <c:v>43022</c:v>
                </c:pt>
                <c:pt idx="471">
                  <c:v>43023</c:v>
                </c:pt>
                <c:pt idx="472">
                  <c:v>43024</c:v>
                </c:pt>
                <c:pt idx="473">
                  <c:v>43025</c:v>
                </c:pt>
                <c:pt idx="474">
                  <c:v>43026</c:v>
                </c:pt>
                <c:pt idx="475">
                  <c:v>43027</c:v>
                </c:pt>
                <c:pt idx="476">
                  <c:v>43028</c:v>
                </c:pt>
                <c:pt idx="477">
                  <c:v>43029</c:v>
                </c:pt>
                <c:pt idx="478">
                  <c:v>43030</c:v>
                </c:pt>
                <c:pt idx="479">
                  <c:v>43031</c:v>
                </c:pt>
                <c:pt idx="480">
                  <c:v>43032</c:v>
                </c:pt>
                <c:pt idx="481">
                  <c:v>43033</c:v>
                </c:pt>
                <c:pt idx="482">
                  <c:v>43034</c:v>
                </c:pt>
                <c:pt idx="483">
                  <c:v>43035</c:v>
                </c:pt>
                <c:pt idx="484">
                  <c:v>43036</c:v>
                </c:pt>
                <c:pt idx="485">
                  <c:v>43037</c:v>
                </c:pt>
                <c:pt idx="486">
                  <c:v>43038</c:v>
                </c:pt>
                <c:pt idx="487">
                  <c:v>43039</c:v>
                </c:pt>
                <c:pt idx="488">
                  <c:v>43040</c:v>
                </c:pt>
                <c:pt idx="489">
                  <c:v>43041</c:v>
                </c:pt>
                <c:pt idx="490">
                  <c:v>43042</c:v>
                </c:pt>
                <c:pt idx="491">
                  <c:v>43043</c:v>
                </c:pt>
                <c:pt idx="492">
                  <c:v>43044</c:v>
                </c:pt>
                <c:pt idx="493">
                  <c:v>43045</c:v>
                </c:pt>
                <c:pt idx="494">
                  <c:v>43046</c:v>
                </c:pt>
                <c:pt idx="495">
                  <c:v>43047</c:v>
                </c:pt>
                <c:pt idx="496">
                  <c:v>43048</c:v>
                </c:pt>
                <c:pt idx="497">
                  <c:v>43049</c:v>
                </c:pt>
                <c:pt idx="498">
                  <c:v>43050</c:v>
                </c:pt>
                <c:pt idx="499">
                  <c:v>43051</c:v>
                </c:pt>
                <c:pt idx="500">
                  <c:v>43052</c:v>
                </c:pt>
                <c:pt idx="501">
                  <c:v>43053</c:v>
                </c:pt>
                <c:pt idx="502">
                  <c:v>43054</c:v>
                </c:pt>
                <c:pt idx="503">
                  <c:v>43055</c:v>
                </c:pt>
                <c:pt idx="504">
                  <c:v>43056</c:v>
                </c:pt>
                <c:pt idx="505">
                  <c:v>43057</c:v>
                </c:pt>
                <c:pt idx="506">
                  <c:v>43058</c:v>
                </c:pt>
                <c:pt idx="507">
                  <c:v>43059</c:v>
                </c:pt>
                <c:pt idx="508">
                  <c:v>43060</c:v>
                </c:pt>
                <c:pt idx="509">
                  <c:v>43061</c:v>
                </c:pt>
                <c:pt idx="510">
                  <c:v>43062</c:v>
                </c:pt>
                <c:pt idx="511">
                  <c:v>43063</c:v>
                </c:pt>
                <c:pt idx="512">
                  <c:v>43064</c:v>
                </c:pt>
                <c:pt idx="513">
                  <c:v>43065</c:v>
                </c:pt>
                <c:pt idx="514">
                  <c:v>43066</c:v>
                </c:pt>
                <c:pt idx="515">
                  <c:v>43067</c:v>
                </c:pt>
                <c:pt idx="516">
                  <c:v>43068</c:v>
                </c:pt>
                <c:pt idx="517">
                  <c:v>43069</c:v>
                </c:pt>
                <c:pt idx="518">
                  <c:v>43070</c:v>
                </c:pt>
                <c:pt idx="519">
                  <c:v>43071</c:v>
                </c:pt>
                <c:pt idx="520">
                  <c:v>43072</c:v>
                </c:pt>
                <c:pt idx="521">
                  <c:v>43073</c:v>
                </c:pt>
                <c:pt idx="522">
                  <c:v>43074</c:v>
                </c:pt>
                <c:pt idx="523">
                  <c:v>43075</c:v>
                </c:pt>
                <c:pt idx="524">
                  <c:v>43076</c:v>
                </c:pt>
                <c:pt idx="525">
                  <c:v>43077</c:v>
                </c:pt>
                <c:pt idx="526">
                  <c:v>43078</c:v>
                </c:pt>
                <c:pt idx="527">
                  <c:v>43079</c:v>
                </c:pt>
                <c:pt idx="528">
                  <c:v>43080</c:v>
                </c:pt>
                <c:pt idx="529">
                  <c:v>43081</c:v>
                </c:pt>
                <c:pt idx="530">
                  <c:v>43082</c:v>
                </c:pt>
                <c:pt idx="531">
                  <c:v>43083</c:v>
                </c:pt>
                <c:pt idx="532">
                  <c:v>43084</c:v>
                </c:pt>
                <c:pt idx="533">
                  <c:v>43085</c:v>
                </c:pt>
                <c:pt idx="534">
                  <c:v>43086</c:v>
                </c:pt>
                <c:pt idx="535">
                  <c:v>43087</c:v>
                </c:pt>
                <c:pt idx="536">
                  <c:v>43088</c:v>
                </c:pt>
                <c:pt idx="537">
                  <c:v>43089</c:v>
                </c:pt>
                <c:pt idx="538">
                  <c:v>43090</c:v>
                </c:pt>
                <c:pt idx="539">
                  <c:v>43091</c:v>
                </c:pt>
                <c:pt idx="540">
                  <c:v>43092</c:v>
                </c:pt>
                <c:pt idx="541">
                  <c:v>43093</c:v>
                </c:pt>
                <c:pt idx="542">
                  <c:v>43094</c:v>
                </c:pt>
                <c:pt idx="543">
                  <c:v>43095</c:v>
                </c:pt>
                <c:pt idx="544">
                  <c:v>43096</c:v>
                </c:pt>
                <c:pt idx="545">
                  <c:v>43097</c:v>
                </c:pt>
                <c:pt idx="546">
                  <c:v>43098</c:v>
                </c:pt>
                <c:pt idx="547">
                  <c:v>43099</c:v>
                </c:pt>
                <c:pt idx="548">
                  <c:v>43100</c:v>
                </c:pt>
                <c:pt idx="549">
                  <c:v>43101</c:v>
                </c:pt>
                <c:pt idx="550">
                  <c:v>43102</c:v>
                </c:pt>
                <c:pt idx="551">
                  <c:v>43103</c:v>
                </c:pt>
                <c:pt idx="552">
                  <c:v>43104</c:v>
                </c:pt>
                <c:pt idx="553">
                  <c:v>43105</c:v>
                </c:pt>
                <c:pt idx="554">
                  <c:v>43106</c:v>
                </c:pt>
                <c:pt idx="555">
                  <c:v>43107</c:v>
                </c:pt>
                <c:pt idx="556">
                  <c:v>43108</c:v>
                </c:pt>
                <c:pt idx="557">
                  <c:v>43109</c:v>
                </c:pt>
                <c:pt idx="558">
                  <c:v>43110</c:v>
                </c:pt>
                <c:pt idx="559">
                  <c:v>43111</c:v>
                </c:pt>
                <c:pt idx="560">
                  <c:v>43112</c:v>
                </c:pt>
                <c:pt idx="561">
                  <c:v>43113</c:v>
                </c:pt>
                <c:pt idx="562">
                  <c:v>43114</c:v>
                </c:pt>
                <c:pt idx="563">
                  <c:v>43115</c:v>
                </c:pt>
                <c:pt idx="564">
                  <c:v>43116</c:v>
                </c:pt>
                <c:pt idx="565">
                  <c:v>43117</c:v>
                </c:pt>
                <c:pt idx="566">
                  <c:v>43118</c:v>
                </c:pt>
                <c:pt idx="567">
                  <c:v>43119</c:v>
                </c:pt>
                <c:pt idx="568">
                  <c:v>43120</c:v>
                </c:pt>
                <c:pt idx="569">
                  <c:v>43121</c:v>
                </c:pt>
                <c:pt idx="570">
                  <c:v>43122</c:v>
                </c:pt>
                <c:pt idx="571">
                  <c:v>43123</c:v>
                </c:pt>
                <c:pt idx="572">
                  <c:v>43124</c:v>
                </c:pt>
                <c:pt idx="573">
                  <c:v>43125</c:v>
                </c:pt>
                <c:pt idx="574">
                  <c:v>43126</c:v>
                </c:pt>
                <c:pt idx="575">
                  <c:v>43127</c:v>
                </c:pt>
                <c:pt idx="576">
                  <c:v>43128</c:v>
                </c:pt>
                <c:pt idx="577">
                  <c:v>43129</c:v>
                </c:pt>
                <c:pt idx="578">
                  <c:v>43130</c:v>
                </c:pt>
                <c:pt idx="579">
                  <c:v>43131</c:v>
                </c:pt>
                <c:pt idx="580">
                  <c:v>43132</c:v>
                </c:pt>
                <c:pt idx="581">
                  <c:v>43133</c:v>
                </c:pt>
                <c:pt idx="582">
                  <c:v>43134</c:v>
                </c:pt>
                <c:pt idx="583">
                  <c:v>43135</c:v>
                </c:pt>
                <c:pt idx="584">
                  <c:v>43136</c:v>
                </c:pt>
                <c:pt idx="585">
                  <c:v>43137</c:v>
                </c:pt>
                <c:pt idx="586">
                  <c:v>43138</c:v>
                </c:pt>
                <c:pt idx="587">
                  <c:v>43139</c:v>
                </c:pt>
                <c:pt idx="588">
                  <c:v>43140</c:v>
                </c:pt>
                <c:pt idx="589">
                  <c:v>43141</c:v>
                </c:pt>
                <c:pt idx="590">
                  <c:v>43142</c:v>
                </c:pt>
                <c:pt idx="591">
                  <c:v>43143</c:v>
                </c:pt>
                <c:pt idx="592">
                  <c:v>43144</c:v>
                </c:pt>
                <c:pt idx="593">
                  <c:v>43145</c:v>
                </c:pt>
                <c:pt idx="594">
                  <c:v>43146</c:v>
                </c:pt>
                <c:pt idx="595">
                  <c:v>43147</c:v>
                </c:pt>
                <c:pt idx="596">
                  <c:v>43148</c:v>
                </c:pt>
                <c:pt idx="597">
                  <c:v>43149</c:v>
                </c:pt>
                <c:pt idx="598">
                  <c:v>43150</c:v>
                </c:pt>
                <c:pt idx="599">
                  <c:v>43151</c:v>
                </c:pt>
                <c:pt idx="600">
                  <c:v>43152</c:v>
                </c:pt>
                <c:pt idx="601">
                  <c:v>43153</c:v>
                </c:pt>
                <c:pt idx="602">
                  <c:v>43154</c:v>
                </c:pt>
                <c:pt idx="603">
                  <c:v>43155</c:v>
                </c:pt>
                <c:pt idx="604">
                  <c:v>43156</c:v>
                </c:pt>
                <c:pt idx="605">
                  <c:v>43157</c:v>
                </c:pt>
                <c:pt idx="606">
                  <c:v>43158</c:v>
                </c:pt>
                <c:pt idx="607">
                  <c:v>43159</c:v>
                </c:pt>
                <c:pt idx="608">
                  <c:v>43160</c:v>
                </c:pt>
                <c:pt idx="609">
                  <c:v>43161</c:v>
                </c:pt>
                <c:pt idx="610">
                  <c:v>43162</c:v>
                </c:pt>
                <c:pt idx="611">
                  <c:v>43163</c:v>
                </c:pt>
                <c:pt idx="612">
                  <c:v>43164</c:v>
                </c:pt>
                <c:pt idx="613">
                  <c:v>43165</c:v>
                </c:pt>
                <c:pt idx="614">
                  <c:v>43166</c:v>
                </c:pt>
                <c:pt idx="615">
                  <c:v>43167</c:v>
                </c:pt>
                <c:pt idx="616">
                  <c:v>43168</c:v>
                </c:pt>
                <c:pt idx="617">
                  <c:v>43169</c:v>
                </c:pt>
                <c:pt idx="618">
                  <c:v>43170</c:v>
                </c:pt>
                <c:pt idx="619">
                  <c:v>43171</c:v>
                </c:pt>
                <c:pt idx="620">
                  <c:v>43172</c:v>
                </c:pt>
                <c:pt idx="621">
                  <c:v>43173</c:v>
                </c:pt>
                <c:pt idx="622">
                  <c:v>43174</c:v>
                </c:pt>
                <c:pt idx="623">
                  <c:v>43175</c:v>
                </c:pt>
                <c:pt idx="624">
                  <c:v>43176</c:v>
                </c:pt>
                <c:pt idx="625">
                  <c:v>43177</c:v>
                </c:pt>
                <c:pt idx="626">
                  <c:v>43178</c:v>
                </c:pt>
                <c:pt idx="627">
                  <c:v>43179</c:v>
                </c:pt>
                <c:pt idx="628">
                  <c:v>43180</c:v>
                </c:pt>
                <c:pt idx="629">
                  <c:v>43181</c:v>
                </c:pt>
                <c:pt idx="630">
                  <c:v>43182</c:v>
                </c:pt>
                <c:pt idx="631">
                  <c:v>43183</c:v>
                </c:pt>
                <c:pt idx="632">
                  <c:v>43184</c:v>
                </c:pt>
                <c:pt idx="633">
                  <c:v>43185</c:v>
                </c:pt>
                <c:pt idx="634">
                  <c:v>43186</c:v>
                </c:pt>
                <c:pt idx="635">
                  <c:v>43187</c:v>
                </c:pt>
                <c:pt idx="636">
                  <c:v>43188</c:v>
                </c:pt>
                <c:pt idx="637">
                  <c:v>43189</c:v>
                </c:pt>
                <c:pt idx="638">
                  <c:v>43190</c:v>
                </c:pt>
                <c:pt idx="639">
                  <c:v>43191</c:v>
                </c:pt>
                <c:pt idx="640">
                  <c:v>43192</c:v>
                </c:pt>
                <c:pt idx="641">
                  <c:v>43193</c:v>
                </c:pt>
                <c:pt idx="642">
                  <c:v>43194</c:v>
                </c:pt>
                <c:pt idx="643">
                  <c:v>43195</c:v>
                </c:pt>
                <c:pt idx="644">
                  <c:v>43196</c:v>
                </c:pt>
                <c:pt idx="645">
                  <c:v>43197</c:v>
                </c:pt>
                <c:pt idx="646">
                  <c:v>43198</c:v>
                </c:pt>
                <c:pt idx="647">
                  <c:v>43199</c:v>
                </c:pt>
                <c:pt idx="648">
                  <c:v>43200</c:v>
                </c:pt>
                <c:pt idx="649">
                  <c:v>43201</c:v>
                </c:pt>
                <c:pt idx="650">
                  <c:v>43202</c:v>
                </c:pt>
                <c:pt idx="651">
                  <c:v>43203</c:v>
                </c:pt>
                <c:pt idx="652">
                  <c:v>43204</c:v>
                </c:pt>
                <c:pt idx="653">
                  <c:v>43205</c:v>
                </c:pt>
                <c:pt idx="654">
                  <c:v>43206</c:v>
                </c:pt>
                <c:pt idx="655">
                  <c:v>43207</c:v>
                </c:pt>
                <c:pt idx="656">
                  <c:v>43208</c:v>
                </c:pt>
                <c:pt idx="657">
                  <c:v>43209</c:v>
                </c:pt>
                <c:pt idx="658">
                  <c:v>43210</c:v>
                </c:pt>
                <c:pt idx="659">
                  <c:v>43211</c:v>
                </c:pt>
                <c:pt idx="660">
                  <c:v>43212</c:v>
                </c:pt>
                <c:pt idx="661">
                  <c:v>43213</c:v>
                </c:pt>
                <c:pt idx="662">
                  <c:v>43214</c:v>
                </c:pt>
                <c:pt idx="663">
                  <c:v>43215</c:v>
                </c:pt>
                <c:pt idx="664">
                  <c:v>43216</c:v>
                </c:pt>
                <c:pt idx="665">
                  <c:v>43217</c:v>
                </c:pt>
                <c:pt idx="666">
                  <c:v>43218</c:v>
                </c:pt>
                <c:pt idx="667">
                  <c:v>43219</c:v>
                </c:pt>
                <c:pt idx="668">
                  <c:v>43220</c:v>
                </c:pt>
                <c:pt idx="669">
                  <c:v>43221</c:v>
                </c:pt>
                <c:pt idx="670">
                  <c:v>43222</c:v>
                </c:pt>
                <c:pt idx="671">
                  <c:v>43223</c:v>
                </c:pt>
                <c:pt idx="672">
                  <c:v>43224</c:v>
                </c:pt>
                <c:pt idx="673">
                  <c:v>43225</c:v>
                </c:pt>
                <c:pt idx="674">
                  <c:v>43226</c:v>
                </c:pt>
                <c:pt idx="675">
                  <c:v>43227</c:v>
                </c:pt>
                <c:pt idx="676">
                  <c:v>43228</c:v>
                </c:pt>
                <c:pt idx="677">
                  <c:v>43229</c:v>
                </c:pt>
                <c:pt idx="678">
                  <c:v>43230</c:v>
                </c:pt>
                <c:pt idx="679">
                  <c:v>43231</c:v>
                </c:pt>
                <c:pt idx="680">
                  <c:v>43232</c:v>
                </c:pt>
                <c:pt idx="681">
                  <c:v>43233</c:v>
                </c:pt>
                <c:pt idx="682">
                  <c:v>43234</c:v>
                </c:pt>
                <c:pt idx="683">
                  <c:v>43235</c:v>
                </c:pt>
                <c:pt idx="684">
                  <c:v>43236</c:v>
                </c:pt>
                <c:pt idx="685">
                  <c:v>43237</c:v>
                </c:pt>
                <c:pt idx="686">
                  <c:v>43238</c:v>
                </c:pt>
                <c:pt idx="687">
                  <c:v>43239</c:v>
                </c:pt>
                <c:pt idx="688">
                  <c:v>43240</c:v>
                </c:pt>
                <c:pt idx="689">
                  <c:v>43241</c:v>
                </c:pt>
                <c:pt idx="690">
                  <c:v>43242</c:v>
                </c:pt>
                <c:pt idx="691">
                  <c:v>43243</c:v>
                </c:pt>
                <c:pt idx="692">
                  <c:v>43244</c:v>
                </c:pt>
                <c:pt idx="693">
                  <c:v>43245</c:v>
                </c:pt>
                <c:pt idx="694">
                  <c:v>43246</c:v>
                </c:pt>
                <c:pt idx="695">
                  <c:v>43247</c:v>
                </c:pt>
                <c:pt idx="696">
                  <c:v>43248</c:v>
                </c:pt>
                <c:pt idx="697">
                  <c:v>43249</c:v>
                </c:pt>
                <c:pt idx="698">
                  <c:v>43250</c:v>
                </c:pt>
                <c:pt idx="699">
                  <c:v>43251</c:v>
                </c:pt>
                <c:pt idx="700">
                  <c:v>43252</c:v>
                </c:pt>
                <c:pt idx="701">
                  <c:v>43253</c:v>
                </c:pt>
                <c:pt idx="702">
                  <c:v>43254</c:v>
                </c:pt>
                <c:pt idx="703">
                  <c:v>43255</c:v>
                </c:pt>
                <c:pt idx="704">
                  <c:v>43256</c:v>
                </c:pt>
                <c:pt idx="705">
                  <c:v>43257</c:v>
                </c:pt>
                <c:pt idx="706">
                  <c:v>43258</c:v>
                </c:pt>
                <c:pt idx="707">
                  <c:v>43259</c:v>
                </c:pt>
                <c:pt idx="708">
                  <c:v>43260</c:v>
                </c:pt>
                <c:pt idx="709">
                  <c:v>43261</c:v>
                </c:pt>
                <c:pt idx="710">
                  <c:v>43262</c:v>
                </c:pt>
                <c:pt idx="711">
                  <c:v>43263</c:v>
                </c:pt>
                <c:pt idx="712">
                  <c:v>43264</c:v>
                </c:pt>
                <c:pt idx="713">
                  <c:v>43265</c:v>
                </c:pt>
                <c:pt idx="714">
                  <c:v>43266</c:v>
                </c:pt>
                <c:pt idx="715">
                  <c:v>43267</c:v>
                </c:pt>
                <c:pt idx="716">
                  <c:v>43268</c:v>
                </c:pt>
                <c:pt idx="717">
                  <c:v>43269</c:v>
                </c:pt>
                <c:pt idx="718">
                  <c:v>43270</c:v>
                </c:pt>
                <c:pt idx="719">
                  <c:v>43271</c:v>
                </c:pt>
                <c:pt idx="720">
                  <c:v>43272</c:v>
                </c:pt>
                <c:pt idx="721">
                  <c:v>43273</c:v>
                </c:pt>
                <c:pt idx="722">
                  <c:v>43274</c:v>
                </c:pt>
                <c:pt idx="723">
                  <c:v>43275</c:v>
                </c:pt>
                <c:pt idx="724">
                  <c:v>43276</c:v>
                </c:pt>
                <c:pt idx="725">
                  <c:v>43277</c:v>
                </c:pt>
                <c:pt idx="726">
                  <c:v>43278</c:v>
                </c:pt>
                <c:pt idx="727">
                  <c:v>43279</c:v>
                </c:pt>
                <c:pt idx="728">
                  <c:v>43280</c:v>
                </c:pt>
                <c:pt idx="729">
                  <c:v>43281</c:v>
                </c:pt>
                <c:pt idx="730">
                  <c:v>43282</c:v>
                </c:pt>
                <c:pt idx="731">
                  <c:v>43283</c:v>
                </c:pt>
                <c:pt idx="732">
                  <c:v>43284</c:v>
                </c:pt>
                <c:pt idx="733">
                  <c:v>43285</c:v>
                </c:pt>
                <c:pt idx="734">
                  <c:v>43286</c:v>
                </c:pt>
                <c:pt idx="735">
                  <c:v>43287</c:v>
                </c:pt>
                <c:pt idx="736">
                  <c:v>43288</c:v>
                </c:pt>
                <c:pt idx="737">
                  <c:v>43289</c:v>
                </c:pt>
                <c:pt idx="738">
                  <c:v>43290</c:v>
                </c:pt>
                <c:pt idx="739">
                  <c:v>43291</c:v>
                </c:pt>
                <c:pt idx="740">
                  <c:v>43292</c:v>
                </c:pt>
                <c:pt idx="741">
                  <c:v>43293</c:v>
                </c:pt>
                <c:pt idx="742">
                  <c:v>43294</c:v>
                </c:pt>
                <c:pt idx="743">
                  <c:v>43295</c:v>
                </c:pt>
                <c:pt idx="744">
                  <c:v>43296</c:v>
                </c:pt>
                <c:pt idx="745">
                  <c:v>43297</c:v>
                </c:pt>
                <c:pt idx="746">
                  <c:v>43298</c:v>
                </c:pt>
                <c:pt idx="747">
                  <c:v>43299</c:v>
                </c:pt>
                <c:pt idx="748">
                  <c:v>43300</c:v>
                </c:pt>
                <c:pt idx="749">
                  <c:v>43301</c:v>
                </c:pt>
                <c:pt idx="750">
                  <c:v>43302</c:v>
                </c:pt>
                <c:pt idx="751">
                  <c:v>43303</c:v>
                </c:pt>
                <c:pt idx="752">
                  <c:v>43304</c:v>
                </c:pt>
                <c:pt idx="753">
                  <c:v>43305</c:v>
                </c:pt>
                <c:pt idx="754">
                  <c:v>43306</c:v>
                </c:pt>
                <c:pt idx="755">
                  <c:v>43307</c:v>
                </c:pt>
                <c:pt idx="756">
                  <c:v>43308</c:v>
                </c:pt>
                <c:pt idx="757">
                  <c:v>43309</c:v>
                </c:pt>
                <c:pt idx="758">
                  <c:v>43310</c:v>
                </c:pt>
                <c:pt idx="759">
                  <c:v>43311</c:v>
                </c:pt>
                <c:pt idx="760">
                  <c:v>43312</c:v>
                </c:pt>
                <c:pt idx="761">
                  <c:v>43313</c:v>
                </c:pt>
                <c:pt idx="762">
                  <c:v>43314</c:v>
                </c:pt>
                <c:pt idx="763">
                  <c:v>43315</c:v>
                </c:pt>
                <c:pt idx="764">
                  <c:v>43316</c:v>
                </c:pt>
                <c:pt idx="765">
                  <c:v>43317</c:v>
                </c:pt>
                <c:pt idx="766">
                  <c:v>43318</c:v>
                </c:pt>
                <c:pt idx="767">
                  <c:v>43319</c:v>
                </c:pt>
                <c:pt idx="768">
                  <c:v>43320</c:v>
                </c:pt>
                <c:pt idx="769">
                  <c:v>43321</c:v>
                </c:pt>
                <c:pt idx="770">
                  <c:v>43322</c:v>
                </c:pt>
                <c:pt idx="771">
                  <c:v>43323</c:v>
                </c:pt>
                <c:pt idx="772">
                  <c:v>43324</c:v>
                </c:pt>
                <c:pt idx="773">
                  <c:v>43325</c:v>
                </c:pt>
                <c:pt idx="774">
                  <c:v>43326</c:v>
                </c:pt>
                <c:pt idx="775">
                  <c:v>43327</c:v>
                </c:pt>
                <c:pt idx="776">
                  <c:v>43328</c:v>
                </c:pt>
                <c:pt idx="777">
                  <c:v>43329</c:v>
                </c:pt>
                <c:pt idx="778">
                  <c:v>43330</c:v>
                </c:pt>
                <c:pt idx="779">
                  <c:v>43331</c:v>
                </c:pt>
                <c:pt idx="780">
                  <c:v>43332</c:v>
                </c:pt>
                <c:pt idx="781">
                  <c:v>43333</c:v>
                </c:pt>
                <c:pt idx="782">
                  <c:v>43334</c:v>
                </c:pt>
                <c:pt idx="783">
                  <c:v>43335</c:v>
                </c:pt>
                <c:pt idx="784">
                  <c:v>43336</c:v>
                </c:pt>
                <c:pt idx="785">
                  <c:v>43337</c:v>
                </c:pt>
                <c:pt idx="786">
                  <c:v>43338</c:v>
                </c:pt>
                <c:pt idx="787">
                  <c:v>43339</c:v>
                </c:pt>
                <c:pt idx="788">
                  <c:v>43340</c:v>
                </c:pt>
                <c:pt idx="789">
                  <c:v>43341</c:v>
                </c:pt>
                <c:pt idx="790">
                  <c:v>43342</c:v>
                </c:pt>
                <c:pt idx="791">
                  <c:v>43343</c:v>
                </c:pt>
                <c:pt idx="792">
                  <c:v>43344</c:v>
                </c:pt>
                <c:pt idx="793">
                  <c:v>43345</c:v>
                </c:pt>
                <c:pt idx="794">
                  <c:v>43346</c:v>
                </c:pt>
                <c:pt idx="795">
                  <c:v>43347</c:v>
                </c:pt>
                <c:pt idx="796">
                  <c:v>43348</c:v>
                </c:pt>
                <c:pt idx="797">
                  <c:v>43349</c:v>
                </c:pt>
                <c:pt idx="798">
                  <c:v>43350</c:v>
                </c:pt>
                <c:pt idx="799">
                  <c:v>43351</c:v>
                </c:pt>
                <c:pt idx="800">
                  <c:v>43352</c:v>
                </c:pt>
                <c:pt idx="801">
                  <c:v>43353</c:v>
                </c:pt>
                <c:pt idx="802">
                  <c:v>43354</c:v>
                </c:pt>
                <c:pt idx="803">
                  <c:v>43355</c:v>
                </c:pt>
                <c:pt idx="804">
                  <c:v>43356</c:v>
                </c:pt>
                <c:pt idx="805">
                  <c:v>43357</c:v>
                </c:pt>
                <c:pt idx="806">
                  <c:v>43358</c:v>
                </c:pt>
                <c:pt idx="807">
                  <c:v>43359</c:v>
                </c:pt>
                <c:pt idx="808">
                  <c:v>43360</c:v>
                </c:pt>
                <c:pt idx="809">
                  <c:v>43361</c:v>
                </c:pt>
                <c:pt idx="810">
                  <c:v>43362</c:v>
                </c:pt>
                <c:pt idx="811">
                  <c:v>43363</c:v>
                </c:pt>
                <c:pt idx="812">
                  <c:v>43364</c:v>
                </c:pt>
                <c:pt idx="813">
                  <c:v>43365</c:v>
                </c:pt>
                <c:pt idx="814">
                  <c:v>43366</c:v>
                </c:pt>
                <c:pt idx="815">
                  <c:v>43367</c:v>
                </c:pt>
                <c:pt idx="816">
                  <c:v>43368</c:v>
                </c:pt>
                <c:pt idx="817">
                  <c:v>43369</c:v>
                </c:pt>
                <c:pt idx="818">
                  <c:v>43370</c:v>
                </c:pt>
                <c:pt idx="819">
                  <c:v>43371</c:v>
                </c:pt>
                <c:pt idx="820">
                  <c:v>43372</c:v>
                </c:pt>
                <c:pt idx="821">
                  <c:v>43373</c:v>
                </c:pt>
                <c:pt idx="822">
                  <c:v>43374</c:v>
                </c:pt>
                <c:pt idx="823">
                  <c:v>43375</c:v>
                </c:pt>
                <c:pt idx="824">
                  <c:v>43376</c:v>
                </c:pt>
                <c:pt idx="825">
                  <c:v>43377</c:v>
                </c:pt>
                <c:pt idx="826">
                  <c:v>43378</c:v>
                </c:pt>
                <c:pt idx="827">
                  <c:v>43379</c:v>
                </c:pt>
                <c:pt idx="828">
                  <c:v>43380</c:v>
                </c:pt>
                <c:pt idx="829">
                  <c:v>43381</c:v>
                </c:pt>
                <c:pt idx="830">
                  <c:v>43382</c:v>
                </c:pt>
                <c:pt idx="831">
                  <c:v>43383</c:v>
                </c:pt>
                <c:pt idx="832">
                  <c:v>43384</c:v>
                </c:pt>
                <c:pt idx="833">
                  <c:v>43385</c:v>
                </c:pt>
                <c:pt idx="834">
                  <c:v>43386</c:v>
                </c:pt>
                <c:pt idx="835">
                  <c:v>43387</c:v>
                </c:pt>
                <c:pt idx="836">
                  <c:v>43388</c:v>
                </c:pt>
                <c:pt idx="837">
                  <c:v>43389</c:v>
                </c:pt>
                <c:pt idx="838">
                  <c:v>43390</c:v>
                </c:pt>
                <c:pt idx="839">
                  <c:v>43391</c:v>
                </c:pt>
                <c:pt idx="840">
                  <c:v>43392</c:v>
                </c:pt>
                <c:pt idx="841">
                  <c:v>43393</c:v>
                </c:pt>
                <c:pt idx="842">
                  <c:v>43394</c:v>
                </c:pt>
                <c:pt idx="843">
                  <c:v>43395</c:v>
                </c:pt>
                <c:pt idx="844">
                  <c:v>43396</c:v>
                </c:pt>
                <c:pt idx="845">
                  <c:v>43397</c:v>
                </c:pt>
                <c:pt idx="846">
                  <c:v>43398</c:v>
                </c:pt>
                <c:pt idx="847">
                  <c:v>43399</c:v>
                </c:pt>
                <c:pt idx="848">
                  <c:v>43400</c:v>
                </c:pt>
                <c:pt idx="849">
                  <c:v>43401</c:v>
                </c:pt>
                <c:pt idx="850">
                  <c:v>43402</c:v>
                </c:pt>
                <c:pt idx="851">
                  <c:v>43403</c:v>
                </c:pt>
                <c:pt idx="852">
                  <c:v>43404</c:v>
                </c:pt>
                <c:pt idx="853">
                  <c:v>43405</c:v>
                </c:pt>
                <c:pt idx="854">
                  <c:v>43406</c:v>
                </c:pt>
                <c:pt idx="855">
                  <c:v>43407</c:v>
                </c:pt>
                <c:pt idx="856">
                  <c:v>43408</c:v>
                </c:pt>
                <c:pt idx="857">
                  <c:v>43409</c:v>
                </c:pt>
                <c:pt idx="858">
                  <c:v>43410</c:v>
                </c:pt>
                <c:pt idx="859">
                  <c:v>43411</c:v>
                </c:pt>
                <c:pt idx="860">
                  <c:v>43412</c:v>
                </c:pt>
                <c:pt idx="861">
                  <c:v>43413</c:v>
                </c:pt>
                <c:pt idx="862">
                  <c:v>43414</c:v>
                </c:pt>
                <c:pt idx="863">
                  <c:v>43415</c:v>
                </c:pt>
                <c:pt idx="864">
                  <c:v>43416</c:v>
                </c:pt>
                <c:pt idx="865">
                  <c:v>43417</c:v>
                </c:pt>
                <c:pt idx="866">
                  <c:v>43418</c:v>
                </c:pt>
                <c:pt idx="867">
                  <c:v>43419</c:v>
                </c:pt>
                <c:pt idx="868">
                  <c:v>43420</c:v>
                </c:pt>
                <c:pt idx="869">
                  <c:v>43421</c:v>
                </c:pt>
                <c:pt idx="870">
                  <c:v>43422</c:v>
                </c:pt>
                <c:pt idx="871">
                  <c:v>43423</c:v>
                </c:pt>
                <c:pt idx="872">
                  <c:v>43424</c:v>
                </c:pt>
                <c:pt idx="873">
                  <c:v>43425</c:v>
                </c:pt>
                <c:pt idx="874">
                  <c:v>43426</c:v>
                </c:pt>
                <c:pt idx="875">
                  <c:v>43427</c:v>
                </c:pt>
                <c:pt idx="876">
                  <c:v>43428</c:v>
                </c:pt>
                <c:pt idx="877">
                  <c:v>43429</c:v>
                </c:pt>
                <c:pt idx="878">
                  <c:v>43430</c:v>
                </c:pt>
                <c:pt idx="879">
                  <c:v>43431</c:v>
                </c:pt>
                <c:pt idx="880">
                  <c:v>43432</c:v>
                </c:pt>
                <c:pt idx="881">
                  <c:v>43433</c:v>
                </c:pt>
                <c:pt idx="882">
                  <c:v>43434</c:v>
                </c:pt>
                <c:pt idx="883">
                  <c:v>43435</c:v>
                </c:pt>
                <c:pt idx="884">
                  <c:v>43436</c:v>
                </c:pt>
                <c:pt idx="885">
                  <c:v>43437</c:v>
                </c:pt>
                <c:pt idx="886">
                  <c:v>43438</c:v>
                </c:pt>
                <c:pt idx="887">
                  <c:v>43439</c:v>
                </c:pt>
                <c:pt idx="888">
                  <c:v>43440</c:v>
                </c:pt>
                <c:pt idx="889">
                  <c:v>43441</c:v>
                </c:pt>
                <c:pt idx="890">
                  <c:v>43442</c:v>
                </c:pt>
                <c:pt idx="891">
                  <c:v>43443</c:v>
                </c:pt>
                <c:pt idx="892">
                  <c:v>43444</c:v>
                </c:pt>
                <c:pt idx="893">
                  <c:v>43445</c:v>
                </c:pt>
                <c:pt idx="894">
                  <c:v>43446</c:v>
                </c:pt>
                <c:pt idx="895">
                  <c:v>43447</c:v>
                </c:pt>
                <c:pt idx="896">
                  <c:v>43448</c:v>
                </c:pt>
                <c:pt idx="897">
                  <c:v>43449</c:v>
                </c:pt>
                <c:pt idx="898">
                  <c:v>43450</c:v>
                </c:pt>
                <c:pt idx="899">
                  <c:v>43451</c:v>
                </c:pt>
                <c:pt idx="900">
                  <c:v>43452</c:v>
                </c:pt>
                <c:pt idx="901">
                  <c:v>43453</c:v>
                </c:pt>
                <c:pt idx="902">
                  <c:v>43454</c:v>
                </c:pt>
                <c:pt idx="903">
                  <c:v>43455</c:v>
                </c:pt>
                <c:pt idx="904">
                  <c:v>43456</c:v>
                </c:pt>
                <c:pt idx="905">
                  <c:v>43457</c:v>
                </c:pt>
                <c:pt idx="906">
                  <c:v>43458</c:v>
                </c:pt>
                <c:pt idx="907">
                  <c:v>43459</c:v>
                </c:pt>
                <c:pt idx="908">
                  <c:v>43460</c:v>
                </c:pt>
                <c:pt idx="909">
                  <c:v>43461</c:v>
                </c:pt>
                <c:pt idx="910">
                  <c:v>43462</c:v>
                </c:pt>
                <c:pt idx="911">
                  <c:v>43463</c:v>
                </c:pt>
                <c:pt idx="912">
                  <c:v>43464</c:v>
                </c:pt>
                <c:pt idx="913">
                  <c:v>43465</c:v>
                </c:pt>
                <c:pt idx="914">
                  <c:v>43466</c:v>
                </c:pt>
                <c:pt idx="915">
                  <c:v>43467</c:v>
                </c:pt>
                <c:pt idx="916">
                  <c:v>43468</c:v>
                </c:pt>
                <c:pt idx="917">
                  <c:v>43469</c:v>
                </c:pt>
                <c:pt idx="918">
                  <c:v>43470</c:v>
                </c:pt>
                <c:pt idx="919">
                  <c:v>43471</c:v>
                </c:pt>
                <c:pt idx="920">
                  <c:v>43472</c:v>
                </c:pt>
                <c:pt idx="921">
                  <c:v>43473</c:v>
                </c:pt>
                <c:pt idx="922">
                  <c:v>43474</c:v>
                </c:pt>
                <c:pt idx="923">
                  <c:v>43475</c:v>
                </c:pt>
                <c:pt idx="924">
                  <c:v>43476</c:v>
                </c:pt>
                <c:pt idx="925">
                  <c:v>43477</c:v>
                </c:pt>
                <c:pt idx="926">
                  <c:v>43478</c:v>
                </c:pt>
                <c:pt idx="927">
                  <c:v>43479</c:v>
                </c:pt>
                <c:pt idx="928">
                  <c:v>43480</c:v>
                </c:pt>
                <c:pt idx="929">
                  <c:v>43481</c:v>
                </c:pt>
                <c:pt idx="930">
                  <c:v>43482</c:v>
                </c:pt>
                <c:pt idx="931">
                  <c:v>43483</c:v>
                </c:pt>
                <c:pt idx="932">
                  <c:v>43484</c:v>
                </c:pt>
                <c:pt idx="933">
                  <c:v>43485</c:v>
                </c:pt>
                <c:pt idx="934">
                  <c:v>43486</c:v>
                </c:pt>
                <c:pt idx="935">
                  <c:v>43487</c:v>
                </c:pt>
                <c:pt idx="936">
                  <c:v>43488</c:v>
                </c:pt>
                <c:pt idx="937">
                  <c:v>43489</c:v>
                </c:pt>
                <c:pt idx="938">
                  <c:v>43490</c:v>
                </c:pt>
                <c:pt idx="939">
                  <c:v>43491</c:v>
                </c:pt>
                <c:pt idx="940">
                  <c:v>43492</c:v>
                </c:pt>
                <c:pt idx="941">
                  <c:v>43493</c:v>
                </c:pt>
                <c:pt idx="942">
                  <c:v>43494</c:v>
                </c:pt>
                <c:pt idx="943">
                  <c:v>43495</c:v>
                </c:pt>
                <c:pt idx="944">
                  <c:v>43496</c:v>
                </c:pt>
                <c:pt idx="945">
                  <c:v>43497</c:v>
                </c:pt>
                <c:pt idx="946">
                  <c:v>43498</c:v>
                </c:pt>
                <c:pt idx="947">
                  <c:v>43499</c:v>
                </c:pt>
                <c:pt idx="948">
                  <c:v>43500</c:v>
                </c:pt>
                <c:pt idx="949">
                  <c:v>43501</c:v>
                </c:pt>
                <c:pt idx="950">
                  <c:v>43502</c:v>
                </c:pt>
                <c:pt idx="951">
                  <c:v>43503</c:v>
                </c:pt>
                <c:pt idx="952">
                  <c:v>43504</c:v>
                </c:pt>
                <c:pt idx="953">
                  <c:v>43505</c:v>
                </c:pt>
                <c:pt idx="954">
                  <c:v>43506</c:v>
                </c:pt>
                <c:pt idx="955">
                  <c:v>43507</c:v>
                </c:pt>
                <c:pt idx="956">
                  <c:v>43508</c:v>
                </c:pt>
                <c:pt idx="957">
                  <c:v>43509</c:v>
                </c:pt>
                <c:pt idx="958">
                  <c:v>43510</c:v>
                </c:pt>
                <c:pt idx="959">
                  <c:v>43511</c:v>
                </c:pt>
                <c:pt idx="960">
                  <c:v>43512</c:v>
                </c:pt>
                <c:pt idx="961">
                  <c:v>43513</c:v>
                </c:pt>
                <c:pt idx="962">
                  <c:v>43514</c:v>
                </c:pt>
                <c:pt idx="963">
                  <c:v>43515</c:v>
                </c:pt>
                <c:pt idx="964">
                  <c:v>43516</c:v>
                </c:pt>
                <c:pt idx="965">
                  <c:v>43517</c:v>
                </c:pt>
                <c:pt idx="966">
                  <c:v>43518</c:v>
                </c:pt>
                <c:pt idx="967">
                  <c:v>43519</c:v>
                </c:pt>
                <c:pt idx="968">
                  <c:v>43520</c:v>
                </c:pt>
                <c:pt idx="969">
                  <c:v>43521</c:v>
                </c:pt>
                <c:pt idx="970">
                  <c:v>43522</c:v>
                </c:pt>
                <c:pt idx="971">
                  <c:v>43523</c:v>
                </c:pt>
                <c:pt idx="972">
                  <c:v>43524</c:v>
                </c:pt>
                <c:pt idx="973">
                  <c:v>43525</c:v>
                </c:pt>
                <c:pt idx="974">
                  <c:v>43526</c:v>
                </c:pt>
                <c:pt idx="975">
                  <c:v>43527</c:v>
                </c:pt>
                <c:pt idx="976">
                  <c:v>43528</c:v>
                </c:pt>
                <c:pt idx="977">
                  <c:v>43529</c:v>
                </c:pt>
                <c:pt idx="978">
                  <c:v>43530</c:v>
                </c:pt>
                <c:pt idx="979">
                  <c:v>43531</c:v>
                </c:pt>
                <c:pt idx="980">
                  <c:v>43532</c:v>
                </c:pt>
                <c:pt idx="981">
                  <c:v>43533</c:v>
                </c:pt>
                <c:pt idx="982">
                  <c:v>43534</c:v>
                </c:pt>
                <c:pt idx="983">
                  <c:v>43535</c:v>
                </c:pt>
                <c:pt idx="984">
                  <c:v>43536</c:v>
                </c:pt>
                <c:pt idx="985">
                  <c:v>43537</c:v>
                </c:pt>
                <c:pt idx="986">
                  <c:v>43538</c:v>
                </c:pt>
                <c:pt idx="987">
                  <c:v>43539</c:v>
                </c:pt>
                <c:pt idx="988">
                  <c:v>43540</c:v>
                </c:pt>
                <c:pt idx="989">
                  <c:v>43541</c:v>
                </c:pt>
                <c:pt idx="990">
                  <c:v>43542</c:v>
                </c:pt>
                <c:pt idx="991">
                  <c:v>43543</c:v>
                </c:pt>
                <c:pt idx="992">
                  <c:v>43544</c:v>
                </c:pt>
                <c:pt idx="993">
                  <c:v>43545</c:v>
                </c:pt>
                <c:pt idx="994">
                  <c:v>43546</c:v>
                </c:pt>
                <c:pt idx="995">
                  <c:v>43547</c:v>
                </c:pt>
                <c:pt idx="996">
                  <c:v>43548</c:v>
                </c:pt>
                <c:pt idx="997">
                  <c:v>43549</c:v>
                </c:pt>
                <c:pt idx="998">
                  <c:v>43550</c:v>
                </c:pt>
                <c:pt idx="999">
                  <c:v>43551</c:v>
                </c:pt>
                <c:pt idx="1000">
                  <c:v>43552</c:v>
                </c:pt>
                <c:pt idx="1001">
                  <c:v>43553</c:v>
                </c:pt>
                <c:pt idx="1002">
                  <c:v>43554</c:v>
                </c:pt>
                <c:pt idx="1003">
                  <c:v>43555</c:v>
                </c:pt>
                <c:pt idx="1004">
                  <c:v>43556</c:v>
                </c:pt>
                <c:pt idx="1005">
                  <c:v>43557</c:v>
                </c:pt>
                <c:pt idx="1006">
                  <c:v>43558</c:v>
                </c:pt>
                <c:pt idx="1007">
                  <c:v>43559</c:v>
                </c:pt>
                <c:pt idx="1008">
                  <c:v>43560</c:v>
                </c:pt>
                <c:pt idx="1009">
                  <c:v>43561</c:v>
                </c:pt>
                <c:pt idx="1010">
                  <c:v>43562</c:v>
                </c:pt>
                <c:pt idx="1011">
                  <c:v>43563</c:v>
                </c:pt>
                <c:pt idx="1012">
                  <c:v>43564</c:v>
                </c:pt>
                <c:pt idx="1013">
                  <c:v>43565</c:v>
                </c:pt>
                <c:pt idx="1014">
                  <c:v>43566</c:v>
                </c:pt>
                <c:pt idx="1015">
                  <c:v>43567</c:v>
                </c:pt>
                <c:pt idx="1016">
                  <c:v>43568</c:v>
                </c:pt>
                <c:pt idx="1017">
                  <c:v>43569</c:v>
                </c:pt>
                <c:pt idx="1018">
                  <c:v>43570</c:v>
                </c:pt>
                <c:pt idx="1019">
                  <c:v>43571</c:v>
                </c:pt>
                <c:pt idx="1020">
                  <c:v>43572</c:v>
                </c:pt>
                <c:pt idx="1021">
                  <c:v>43573</c:v>
                </c:pt>
                <c:pt idx="1022">
                  <c:v>43574</c:v>
                </c:pt>
                <c:pt idx="1023">
                  <c:v>43575</c:v>
                </c:pt>
                <c:pt idx="1024">
                  <c:v>43576</c:v>
                </c:pt>
                <c:pt idx="1025">
                  <c:v>43577</c:v>
                </c:pt>
                <c:pt idx="1026">
                  <c:v>43578</c:v>
                </c:pt>
                <c:pt idx="1027">
                  <c:v>43579</c:v>
                </c:pt>
                <c:pt idx="1028">
                  <c:v>43580</c:v>
                </c:pt>
                <c:pt idx="1029">
                  <c:v>43581</c:v>
                </c:pt>
                <c:pt idx="1030">
                  <c:v>43582</c:v>
                </c:pt>
                <c:pt idx="1031">
                  <c:v>43583</c:v>
                </c:pt>
                <c:pt idx="1032">
                  <c:v>43584</c:v>
                </c:pt>
                <c:pt idx="1033">
                  <c:v>43585</c:v>
                </c:pt>
                <c:pt idx="1034">
                  <c:v>43586</c:v>
                </c:pt>
                <c:pt idx="1035">
                  <c:v>43587</c:v>
                </c:pt>
                <c:pt idx="1036">
                  <c:v>43588</c:v>
                </c:pt>
                <c:pt idx="1037">
                  <c:v>43589</c:v>
                </c:pt>
                <c:pt idx="1038">
                  <c:v>43590</c:v>
                </c:pt>
                <c:pt idx="1039">
                  <c:v>43591</c:v>
                </c:pt>
                <c:pt idx="1040">
                  <c:v>43592</c:v>
                </c:pt>
                <c:pt idx="1041">
                  <c:v>43593</c:v>
                </c:pt>
                <c:pt idx="1042">
                  <c:v>43594</c:v>
                </c:pt>
                <c:pt idx="1043">
                  <c:v>43595</c:v>
                </c:pt>
                <c:pt idx="1044">
                  <c:v>43596</c:v>
                </c:pt>
                <c:pt idx="1045">
                  <c:v>43597</c:v>
                </c:pt>
                <c:pt idx="1046">
                  <c:v>43598</c:v>
                </c:pt>
                <c:pt idx="1047">
                  <c:v>43599</c:v>
                </c:pt>
                <c:pt idx="1048">
                  <c:v>43600</c:v>
                </c:pt>
                <c:pt idx="1049">
                  <c:v>43601</c:v>
                </c:pt>
                <c:pt idx="1050">
                  <c:v>43602</c:v>
                </c:pt>
                <c:pt idx="1051">
                  <c:v>43603</c:v>
                </c:pt>
                <c:pt idx="1052">
                  <c:v>43604</c:v>
                </c:pt>
                <c:pt idx="1053">
                  <c:v>43605</c:v>
                </c:pt>
                <c:pt idx="1054">
                  <c:v>43606</c:v>
                </c:pt>
                <c:pt idx="1055">
                  <c:v>43607</c:v>
                </c:pt>
                <c:pt idx="1056">
                  <c:v>43608</c:v>
                </c:pt>
                <c:pt idx="1057">
                  <c:v>43609</c:v>
                </c:pt>
                <c:pt idx="1058">
                  <c:v>43610</c:v>
                </c:pt>
                <c:pt idx="1059">
                  <c:v>43611</c:v>
                </c:pt>
                <c:pt idx="1060">
                  <c:v>43612</c:v>
                </c:pt>
                <c:pt idx="1061">
                  <c:v>43613</c:v>
                </c:pt>
                <c:pt idx="1062">
                  <c:v>43614</c:v>
                </c:pt>
                <c:pt idx="1063">
                  <c:v>43615</c:v>
                </c:pt>
                <c:pt idx="1064">
                  <c:v>43616</c:v>
                </c:pt>
                <c:pt idx="1065">
                  <c:v>43617</c:v>
                </c:pt>
                <c:pt idx="1066">
                  <c:v>43618</c:v>
                </c:pt>
                <c:pt idx="1067">
                  <c:v>43619</c:v>
                </c:pt>
                <c:pt idx="1068">
                  <c:v>43620</c:v>
                </c:pt>
                <c:pt idx="1069">
                  <c:v>43621</c:v>
                </c:pt>
                <c:pt idx="1070">
                  <c:v>43622</c:v>
                </c:pt>
                <c:pt idx="1071">
                  <c:v>43623</c:v>
                </c:pt>
                <c:pt idx="1072">
                  <c:v>43624</c:v>
                </c:pt>
                <c:pt idx="1073">
                  <c:v>43625</c:v>
                </c:pt>
                <c:pt idx="1074">
                  <c:v>43626</c:v>
                </c:pt>
                <c:pt idx="1075">
                  <c:v>43627</c:v>
                </c:pt>
                <c:pt idx="1076">
                  <c:v>43628</c:v>
                </c:pt>
                <c:pt idx="1077">
                  <c:v>43629</c:v>
                </c:pt>
                <c:pt idx="1078">
                  <c:v>43630</c:v>
                </c:pt>
                <c:pt idx="1079">
                  <c:v>43631</c:v>
                </c:pt>
                <c:pt idx="1080">
                  <c:v>43632</c:v>
                </c:pt>
                <c:pt idx="1081">
                  <c:v>43633</c:v>
                </c:pt>
                <c:pt idx="1082">
                  <c:v>43634</c:v>
                </c:pt>
                <c:pt idx="1083">
                  <c:v>43635</c:v>
                </c:pt>
                <c:pt idx="1084">
                  <c:v>43636</c:v>
                </c:pt>
                <c:pt idx="1085">
                  <c:v>43637</c:v>
                </c:pt>
                <c:pt idx="1086">
                  <c:v>43638</c:v>
                </c:pt>
                <c:pt idx="1087">
                  <c:v>43639</c:v>
                </c:pt>
                <c:pt idx="1088">
                  <c:v>43640</c:v>
                </c:pt>
                <c:pt idx="1089">
                  <c:v>43641</c:v>
                </c:pt>
                <c:pt idx="1090">
                  <c:v>43642</c:v>
                </c:pt>
                <c:pt idx="1091">
                  <c:v>43643</c:v>
                </c:pt>
                <c:pt idx="1092">
                  <c:v>43644</c:v>
                </c:pt>
                <c:pt idx="1093">
                  <c:v>43645</c:v>
                </c:pt>
                <c:pt idx="1094">
                  <c:v>43646</c:v>
                </c:pt>
                <c:pt idx="1095">
                  <c:v>43647</c:v>
                </c:pt>
                <c:pt idx="1096">
                  <c:v>43648</c:v>
                </c:pt>
                <c:pt idx="1097">
                  <c:v>43649</c:v>
                </c:pt>
                <c:pt idx="1098">
                  <c:v>43650</c:v>
                </c:pt>
                <c:pt idx="1099">
                  <c:v>43651</c:v>
                </c:pt>
                <c:pt idx="1100">
                  <c:v>43652</c:v>
                </c:pt>
                <c:pt idx="1101">
                  <c:v>43653</c:v>
                </c:pt>
                <c:pt idx="1102">
                  <c:v>43654</c:v>
                </c:pt>
                <c:pt idx="1103">
                  <c:v>43655</c:v>
                </c:pt>
                <c:pt idx="1104">
                  <c:v>43656</c:v>
                </c:pt>
                <c:pt idx="1105">
                  <c:v>43657</c:v>
                </c:pt>
                <c:pt idx="1106">
                  <c:v>43658</c:v>
                </c:pt>
                <c:pt idx="1107">
                  <c:v>43659</c:v>
                </c:pt>
                <c:pt idx="1108">
                  <c:v>43660</c:v>
                </c:pt>
                <c:pt idx="1109">
                  <c:v>43661</c:v>
                </c:pt>
                <c:pt idx="1110">
                  <c:v>43662</c:v>
                </c:pt>
                <c:pt idx="1111">
                  <c:v>43663</c:v>
                </c:pt>
                <c:pt idx="1112">
                  <c:v>43664</c:v>
                </c:pt>
                <c:pt idx="1113">
                  <c:v>43665</c:v>
                </c:pt>
                <c:pt idx="1114">
                  <c:v>43666</c:v>
                </c:pt>
                <c:pt idx="1115">
                  <c:v>43667</c:v>
                </c:pt>
                <c:pt idx="1116">
                  <c:v>43668</c:v>
                </c:pt>
                <c:pt idx="1117">
                  <c:v>43669</c:v>
                </c:pt>
                <c:pt idx="1118">
                  <c:v>43670</c:v>
                </c:pt>
                <c:pt idx="1119">
                  <c:v>43671</c:v>
                </c:pt>
                <c:pt idx="1120">
                  <c:v>43672</c:v>
                </c:pt>
                <c:pt idx="1121">
                  <c:v>43673</c:v>
                </c:pt>
                <c:pt idx="1122">
                  <c:v>43674</c:v>
                </c:pt>
                <c:pt idx="1123">
                  <c:v>43675</c:v>
                </c:pt>
                <c:pt idx="1124">
                  <c:v>43676</c:v>
                </c:pt>
                <c:pt idx="1125">
                  <c:v>43677</c:v>
                </c:pt>
                <c:pt idx="1126">
                  <c:v>43678</c:v>
                </c:pt>
                <c:pt idx="1127">
                  <c:v>43679</c:v>
                </c:pt>
                <c:pt idx="1128">
                  <c:v>43680</c:v>
                </c:pt>
                <c:pt idx="1129">
                  <c:v>43681</c:v>
                </c:pt>
                <c:pt idx="1130">
                  <c:v>43682</c:v>
                </c:pt>
                <c:pt idx="1131">
                  <c:v>43683</c:v>
                </c:pt>
                <c:pt idx="1132">
                  <c:v>43684</c:v>
                </c:pt>
                <c:pt idx="1133">
                  <c:v>43685</c:v>
                </c:pt>
                <c:pt idx="1134">
                  <c:v>43686</c:v>
                </c:pt>
                <c:pt idx="1135">
                  <c:v>43687</c:v>
                </c:pt>
                <c:pt idx="1136">
                  <c:v>43688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43694</c:v>
                </c:pt>
                <c:pt idx="1143">
                  <c:v>43695</c:v>
                </c:pt>
                <c:pt idx="1144">
                  <c:v>43696</c:v>
                </c:pt>
                <c:pt idx="1145">
                  <c:v>43697</c:v>
                </c:pt>
                <c:pt idx="1146">
                  <c:v>43698</c:v>
                </c:pt>
                <c:pt idx="1147">
                  <c:v>43699</c:v>
                </c:pt>
                <c:pt idx="1148">
                  <c:v>43700</c:v>
                </c:pt>
                <c:pt idx="1149">
                  <c:v>43701</c:v>
                </c:pt>
                <c:pt idx="1150">
                  <c:v>43702</c:v>
                </c:pt>
                <c:pt idx="1151">
                  <c:v>43703</c:v>
                </c:pt>
                <c:pt idx="1152">
                  <c:v>43704</c:v>
                </c:pt>
                <c:pt idx="1153">
                  <c:v>43705</c:v>
                </c:pt>
                <c:pt idx="1154">
                  <c:v>43706</c:v>
                </c:pt>
                <c:pt idx="1155">
                  <c:v>43707</c:v>
                </c:pt>
                <c:pt idx="1156">
                  <c:v>43708</c:v>
                </c:pt>
                <c:pt idx="1157">
                  <c:v>43709</c:v>
                </c:pt>
                <c:pt idx="1158">
                  <c:v>43710</c:v>
                </c:pt>
                <c:pt idx="1159">
                  <c:v>43711</c:v>
                </c:pt>
                <c:pt idx="1160">
                  <c:v>43712</c:v>
                </c:pt>
                <c:pt idx="1161">
                  <c:v>43713</c:v>
                </c:pt>
                <c:pt idx="1162">
                  <c:v>43714</c:v>
                </c:pt>
                <c:pt idx="1163">
                  <c:v>43715</c:v>
                </c:pt>
                <c:pt idx="1164">
                  <c:v>43716</c:v>
                </c:pt>
                <c:pt idx="1165">
                  <c:v>43717</c:v>
                </c:pt>
                <c:pt idx="1166">
                  <c:v>43718</c:v>
                </c:pt>
                <c:pt idx="1167">
                  <c:v>43719</c:v>
                </c:pt>
                <c:pt idx="1168">
                  <c:v>43720</c:v>
                </c:pt>
                <c:pt idx="1169">
                  <c:v>43721</c:v>
                </c:pt>
                <c:pt idx="1170">
                  <c:v>43722</c:v>
                </c:pt>
                <c:pt idx="1171">
                  <c:v>43723</c:v>
                </c:pt>
                <c:pt idx="1172">
                  <c:v>43724</c:v>
                </c:pt>
                <c:pt idx="1173">
                  <c:v>43725</c:v>
                </c:pt>
                <c:pt idx="1174">
                  <c:v>43726</c:v>
                </c:pt>
                <c:pt idx="1175">
                  <c:v>43727</c:v>
                </c:pt>
                <c:pt idx="1176">
                  <c:v>43728</c:v>
                </c:pt>
                <c:pt idx="1177">
                  <c:v>43729</c:v>
                </c:pt>
                <c:pt idx="1178">
                  <c:v>43730</c:v>
                </c:pt>
                <c:pt idx="1179">
                  <c:v>43731</c:v>
                </c:pt>
                <c:pt idx="1180">
                  <c:v>43732</c:v>
                </c:pt>
                <c:pt idx="1181">
                  <c:v>43733</c:v>
                </c:pt>
                <c:pt idx="1182">
                  <c:v>43734</c:v>
                </c:pt>
                <c:pt idx="1183">
                  <c:v>43735</c:v>
                </c:pt>
                <c:pt idx="1184">
                  <c:v>43736</c:v>
                </c:pt>
                <c:pt idx="1185">
                  <c:v>43737</c:v>
                </c:pt>
                <c:pt idx="1186">
                  <c:v>43738</c:v>
                </c:pt>
                <c:pt idx="1187">
                  <c:v>43739</c:v>
                </c:pt>
                <c:pt idx="1188">
                  <c:v>43740</c:v>
                </c:pt>
                <c:pt idx="1189">
                  <c:v>43741</c:v>
                </c:pt>
                <c:pt idx="1190">
                  <c:v>43742</c:v>
                </c:pt>
                <c:pt idx="1191">
                  <c:v>43743</c:v>
                </c:pt>
                <c:pt idx="1192">
                  <c:v>43744</c:v>
                </c:pt>
                <c:pt idx="1193">
                  <c:v>43745</c:v>
                </c:pt>
                <c:pt idx="1194">
                  <c:v>43746</c:v>
                </c:pt>
                <c:pt idx="1195">
                  <c:v>43747</c:v>
                </c:pt>
                <c:pt idx="1196">
                  <c:v>43748</c:v>
                </c:pt>
                <c:pt idx="1197">
                  <c:v>43749</c:v>
                </c:pt>
                <c:pt idx="1198">
                  <c:v>43750</c:v>
                </c:pt>
                <c:pt idx="1199">
                  <c:v>43751</c:v>
                </c:pt>
                <c:pt idx="1200">
                  <c:v>43752</c:v>
                </c:pt>
                <c:pt idx="1201">
                  <c:v>43753</c:v>
                </c:pt>
                <c:pt idx="1202">
                  <c:v>43754</c:v>
                </c:pt>
                <c:pt idx="1203">
                  <c:v>43755</c:v>
                </c:pt>
                <c:pt idx="1204">
                  <c:v>43756</c:v>
                </c:pt>
                <c:pt idx="1205">
                  <c:v>43757</c:v>
                </c:pt>
                <c:pt idx="1206">
                  <c:v>43758</c:v>
                </c:pt>
                <c:pt idx="1207">
                  <c:v>43759</c:v>
                </c:pt>
                <c:pt idx="1208">
                  <c:v>43760</c:v>
                </c:pt>
                <c:pt idx="1209">
                  <c:v>43761</c:v>
                </c:pt>
                <c:pt idx="1210">
                  <c:v>43762</c:v>
                </c:pt>
                <c:pt idx="1211">
                  <c:v>43763</c:v>
                </c:pt>
                <c:pt idx="1212">
                  <c:v>43764</c:v>
                </c:pt>
                <c:pt idx="1213">
                  <c:v>43765</c:v>
                </c:pt>
                <c:pt idx="1214">
                  <c:v>43766</c:v>
                </c:pt>
                <c:pt idx="1215">
                  <c:v>43767</c:v>
                </c:pt>
                <c:pt idx="1216">
                  <c:v>43768</c:v>
                </c:pt>
                <c:pt idx="1217">
                  <c:v>43769</c:v>
                </c:pt>
                <c:pt idx="1218">
                  <c:v>43770</c:v>
                </c:pt>
                <c:pt idx="1219">
                  <c:v>43771</c:v>
                </c:pt>
                <c:pt idx="1220">
                  <c:v>43772</c:v>
                </c:pt>
                <c:pt idx="1221">
                  <c:v>43773</c:v>
                </c:pt>
                <c:pt idx="1222">
                  <c:v>43774</c:v>
                </c:pt>
                <c:pt idx="1223">
                  <c:v>43775</c:v>
                </c:pt>
                <c:pt idx="1224">
                  <c:v>43776</c:v>
                </c:pt>
                <c:pt idx="1225">
                  <c:v>43777</c:v>
                </c:pt>
                <c:pt idx="1226">
                  <c:v>43778</c:v>
                </c:pt>
                <c:pt idx="1227">
                  <c:v>43779</c:v>
                </c:pt>
                <c:pt idx="1228">
                  <c:v>43780</c:v>
                </c:pt>
                <c:pt idx="1229">
                  <c:v>43781</c:v>
                </c:pt>
                <c:pt idx="1230">
                  <c:v>43782</c:v>
                </c:pt>
                <c:pt idx="1231">
                  <c:v>43783</c:v>
                </c:pt>
                <c:pt idx="1232">
                  <c:v>43784</c:v>
                </c:pt>
                <c:pt idx="1233">
                  <c:v>43785</c:v>
                </c:pt>
                <c:pt idx="1234">
                  <c:v>43786</c:v>
                </c:pt>
                <c:pt idx="1235">
                  <c:v>43787</c:v>
                </c:pt>
                <c:pt idx="1236">
                  <c:v>43788</c:v>
                </c:pt>
                <c:pt idx="1237">
                  <c:v>43789</c:v>
                </c:pt>
                <c:pt idx="1238">
                  <c:v>43790</c:v>
                </c:pt>
                <c:pt idx="1239">
                  <c:v>43791</c:v>
                </c:pt>
                <c:pt idx="1240">
                  <c:v>43792</c:v>
                </c:pt>
                <c:pt idx="1241">
                  <c:v>43793</c:v>
                </c:pt>
                <c:pt idx="1242">
                  <c:v>43794</c:v>
                </c:pt>
                <c:pt idx="1243">
                  <c:v>43795</c:v>
                </c:pt>
                <c:pt idx="1244">
                  <c:v>43796</c:v>
                </c:pt>
                <c:pt idx="1245">
                  <c:v>43797</c:v>
                </c:pt>
                <c:pt idx="1246">
                  <c:v>43798</c:v>
                </c:pt>
                <c:pt idx="1247">
                  <c:v>43799</c:v>
                </c:pt>
                <c:pt idx="1248">
                  <c:v>43800</c:v>
                </c:pt>
                <c:pt idx="1249">
                  <c:v>43801</c:v>
                </c:pt>
                <c:pt idx="1250">
                  <c:v>43802</c:v>
                </c:pt>
                <c:pt idx="1251">
                  <c:v>43803</c:v>
                </c:pt>
                <c:pt idx="1252">
                  <c:v>43804</c:v>
                </c:pt>
                <c:pt idx="1253">
                  <c:v>43805</c:v>
                </c:pt>
                <c:pt idx="1254">
                  <c:v>43806</c:v>
                </c:pt>
                <c:pt idx="1255">
                  <c:v>43807</c:v>
                </c:pt>
                <c:pt idx="1256">
                  <c:v>43808</c:v>
                </c:pt>
                <c:pt idx="1257">
                  <c:v>43809</c:v>
                </c:pt>
                <c:pt idx="1258">
                  <c:v>43810</c:v>
                </c:pt>
                <c:pt idx="1259">
                  <c:v>43811</c:v>
                </c:pt>
                <c:pt idx="1260">
                  <c:v>43812</c:v>
                </c:pt>
                <c:pt idx="1261">
                  <c:v>43813</c:v>
                </c:pt>
                <c:pt idx="1262">
                  <c:v>43814</c:v>
                </c:pt>
                <c:pt idx="1263">
                  <c:v>43815</c:v>
                </c:pt>
                <c:pt idx="1264">
                  <c:v>43816</c:v>
                </c:pt>
                <c:pt idx="1265">
                  <c:v>43817</c:v>
                </c:pt>
                <c:pt idx="1266">
                  <c:v>43818</c:v>
                </c:pt>
                <c:pt idx="1267">
                  <c:v>43819</c:v>
                </c:pt>
                <c:pt idx="1268">
                  <c:v>43820</c:v>
                </c:pt>
                <c:pt idx="1269">
                  <c:v>43821</c:v>
                </c:pt>
                <c:pt idx="1270">
                  <c:v>43822</c:v>
                </c:pt>
                <c:pt idx="1271">
                  <c:v>43823</c:v>
                </c:pt>
                <c:pt idx="1272">
                  <c:v>43824</c:v>
                </c:pt>
                <c:pt idx="1273">
                  <c:v>43825</c:v>
                </c:pt>
                <c:pt idx="1274">
                  <c:v>43826</c:v>
                </c:pt>
                <c:pt idx="1275">
                  <c:v>43827</c:v>
                </c:pt>
                <c:pt idx="1276">
                  <c:v>43828</c:v>
                </c:pt>
                <c:pt idx="1277">
                  <c:v>43829</c:v>
                </c:pt>
                <c:pt idx="1278">
                  <c:v>43830</c:v>
                </c:pt>
                <c:pt idx="1279">
                  <c:v>43831</c:v>
                </c:pt>
                <c:pt idx="1280">
                  <c:v>43832</c:v>
                </c:pt>
                <c:pt idx="1281">
                  <c:v>43833</c:v>
                </c:pt>
                <c:pt idx="1282">
                  <c:v>43834</c:v>
                </c:pt>
                <c:pt idx="1283">
                  <c:v>43835</c:v>
                </c:pt>
                <c:pt idx="1284">
                  <c:v>43836</c:v>
                </c:pt>
                <c:pt idx="1285">
                  <c:v>43837</c:v>
                </c:pt>
                <c:pt idx="1286">
                  <c:v>43838</c:v>
                </c:pt>
                <c:pt idx="1287">
                  <c:v>43839</c:v>
                </c:pt>
                <c:pt idx="1288">
                  <c:v>43840</c:v>
                </c:pt>
                <c:pt idx="1289">
                  <c:v>43841</c:v>
                </c:pt>
                <c:pt idx="1290">
                  <c:v>43842</c:v>
                </c:pt>
                <c:pt idx="1291">
                  <c:v>43843</c:v>
                </c:pt>
                <c:pt idx="1292">
                  <c:v>43844</c:v>
                </c:pt>
                <c:pt idx="1293">
                  <c:v>43845</c:v>
                </c:pt>
                <c:pt idx="1294">
                  <c:v>43846</c:v>
                </c:pt>
                <c:pt idx="1295">
                  <c:v>43847</c:v>
                </c:pt>
                <c:pt idx="1296">
                  <c:v>43848</c:v>
                </c:pt>
                <c:pt idx="1297">
                  <c:v>43849</c:v>
                </c:pt>
                <c:pt idx="1298">
                  <c:v>43850</c:v>
                </c:pt>
                <c:pt idx="1299">
                  <c:v>43851</c:v>
                </c:pt>
                <c:pt idx="1300">
                  <c:v>43852</c:v>
                </c:pt>
                <c:pt idx="1301">
                  <c:v>43853</c:v>
                </c:pt>
                <c:pt idx="1302">
                  <c:v>43854</c:v>
                </c:pt>
                <c:pt idx="1303">
                  <c:v>43855</c:v>
                </c:pt>
                <c:pt idx="1304">
                  <c:v>43856</c:v>
                </c:pt>
                <c:pt idx="1305">
                  <c:v>43857</c:v>
                </c:pt>
                <c:pt idx="1306">
                  <c:v>43858</c:v>
                </c:pt>
                <c:pt idx="1307">
                  <c:v>43859</c:v>
                </c:pt>
                <c:pt idx="1308">
                  <c:v>43860</c:v>
                </c:pt>
                <c:pt idx="1309">
                  <c:v>43861</c:v>
                </c:pt>
                <c:pt idx="1310">
                  <c:v>43862</c:v>
                </c:pt>
                <c:pt idx="1311">
                  <c:v>43863</c:v>
                </c:pt>
                <c:pt idx="1312">
                  <c:v>43864</c:v>
                </c:pt>
                <c:pt idx="1313">
                  <c:v>43865</c:v>
                </c:pt>
                <c:pt idx="1314">
                  <c:v>43866</c:v>
                </c:pt>
                <c:pt idx="1315">
                  <c:v>43867</c:v>
                </c:pt>
                <c:pt idx="1316">
                  <c:v>43868</c:v>
                </c:pt>
                <c:pt idx="1317">
                  <c:v>43869</c:v>
                </c:pt>
                <c:pt idx="1318">
                  <c:v>43870</c:v>
                </c:pt>
                <c:pt idx="1319">
                  <c:v>43871</c:v>
                </c:pt>
                <c:pt idx="1320">
                  <c:v>43872</c:v>
                </c:pt>
                <c:pt idx="1321">
                  <c:v>43873</c:v>
                </c:pt>
                <c:pt idx="1322">
                  <c:v>43874</c:v>
                </c:pt>
                <c:pt idx="1323">
                  <c:v>43875</c:v>
                </c:pt>
                <c:pt idx="1324">
                  <c:v>43876</c:v>
                </c:pt>
                <c:pt idx="1325">
                  <c:v>43877</c:v>
                </c:pt>
                <c:pt idx="1326">
                  <c:v>43878</c:v>
                </c:pt>
                <c:pt idx="1327">
                  <c:v>43879</c:v>
                </c:pt>
                <c:pt idx="1328">
                  <c:v>43880</c:v>
                </c:pt>
                <c:pt idx="1329">
                  <c:v>43881</c:v>
                </c:pt>
                <c:pt idx="1330">
                  <c:v>43882</c:v>
                </c:pt>
                <c:pt idx="1331">
                  <c:v>43883</c:v>
                </c:pt>
                <c:pt idx="1332">
                  <c:v>43884</c:v>
                </c:pt>
                <c:pt idx="1333">
                  <c:v>43885</c:v>
                </c:pt>
                <c:pt idx="1334">
                  <c:v>43886</c:v>
                </c:pt>
                <c:pt idx="1335">
                  <c:v>43887</c:v>
                </c:pt>
                <c:pt idx="1336">
                  <c:v>43888</c:v>
                </c:pt>
                <c:pt idx="1337">
                  <c:v>43889</c:v>
                </c:pt>
                <c:pt idx="1338">
                  <c:v>43890</c:v>
                </c:pt>
                <c:pt idx="1339">
                  <c:v>43891</c:v>
                </c:pt>
                <c:pt idx="1340">
                  <c:v>43892</c:v>
                </c:pt>
                <c:pt idx="1341">
                  <c:v>43893</c:v>
                </c:pt>
                <c:pt idx="1342">
                  <c:v>43894</c:v>
                </c:pt>
                <c:pt idx="1343">
                  <c:v>43895</c:v>
                </c:pt>
                <c:pt idx="1344">
                  <c:v>43896</c:v>
                </c:pt>
                <c:pt idx="1345">
                  <c:v>43897</c:v>
                </c:pt>
                <c:pt idx="1346">
                  <c:v>43898</c:v>
                </c:pt>
                <c:pt idx="1347">
                  <c:v>43899</c:v>
                </c:pt>
                <c:pt idx="1348">
                  <c:v>43900</c:v>
                </c:pt>
                <c:pt idx="1349">
                  <c:v>43901</c:v>
                </c:pt>
                <c:pt idx="1350">
                  <c:v>43902</c:v>
                </c:pt>
                <c:pt idx="1351">
                  <c:v>43903</c:v>
                </c:pt>
                <c:pt idx="1352">
                  <c:v>43904</c:v>
                </c:pt>
                <c:pt idx="1353">
                  <c:v>43905</c:v>
                </c:pt>
                <c:pt idx="1354">
                  <c:v>43906</c:v>
                </c:pt>
                <c:pt idx="1355">
                  <c:v>43907</c:v>
                </c:pt>
                <c:pt idx="1356">
                  <c:v>43908</c:v>
                </c:pt>
                <c:pt idx="1357">
                  <c:v>43909</c:v>
                </c:pt>
                <c:pt idx="1358">
                  <c:v>43910</c:v>
                </c:pt>
                <c:pt idx="1359">
                  <c:v>43911</c:v>
                </c:pt>
                <c:pt idx="1360">
                  <c:v>43912</c:v>
                </c:pt>
                <c:pt idx="1361">
                  <c:v>43913</c:v>
                </c:pt>
                <c:pt idx="1362">
                  <c:v>43914</c:v>
                </c:pt>
                <c:pt idx="1363">
                  <c:v>43915</c:v>
                </c:pt>
                <c:pt idx="1364">
                  <c:v>43916</c:v>
                </c:pt>
                <c:pt idx="1365">
                  <c:v>43917</c:v>
                </c:pt>
                <c:pt idx="1366">
                  <c:v>43918</c:v>
                </c:pt>
                <c:pt idx="1367">
                  <c:v>43919</c:v>
                </c:pt>
                <c:pt idx="1368">
                  <c:v>43920</c:v>
                </c:pt>
                <c:pt idx="1369">
                  <c:v>43921</c:v>
                </c:pt>
                <c:pt idx="1370">
                  <c:v>43922</c:v>
                </c:pt>
                <c:pt idx="1371">
                  <c:v>43923</c:v>
                </c:pt>
                <c:pt idx="1372">
                  <c:v>43924</c:v>
                </c:pt>
                <c:pt idx="1373">
                  <c:v>43925</c:v>
                </c:pt>
                <c:pt idx="1374">
                  <c:v>43926</c:v>
                </c:pt>
                <c:pt idx="1375">
                  <c:v>43927</c:v>
                </c:pt>
                <c:pt idx="1376">
                  <c:v>43928</c:v>
                </c:pt>
                <c:pt idx="1377">
                  <c:v>43929</c:v>
                </c:pt>
                <c:pt idx="1378">
                  <c:v>43930</c:v>
                </c:pt>
                <c:pt idx="1379">
                  <c:v>43931</c:v>
                </c:pt>
                <c:pt idx="1380">
                  <c:v>43932</c:v>
                </c:pt>
                <c:pt idx="1381">
                  <c:v>43933</c:v>
                </c:pt>
                <c:pt idx="1382">
                  <c:v>43934</c:v>
                </c:pt>
                <c:pt idx="1383">
                  <c:v>43935</c:v>
                </c:pt>
                <c:pt idx="1384">
                  <c:v>43936</c:v>
                </c:pt>
                <c:pt idx="1385">
                  <c:v>43937</c:v>
                </c:pt>
                <c:pt idx="1386">
                  <c:v>43938</c:v>
                </c:pt>
                <c:pt idx="1387">
                  <c:v>43939</c:v>
                </c:pt>
                <c:pt idx="1388">
                  <c:v>43940</c:v>
                </c:pt>
                <c:pt idx="1389">
                  <c:v>43941</c:v>
                </c:pt>
                <c:pt idx="1390">
                  <c:v>43942</c:v>
                </c:pt>
                <c:pt idx="1391">
                  <c:v>43943</c:v>
                </c:pt>
                <c:pt idx="1392">
                  <c:v>43944</c:v>
                </c:pt>
                <c:pt idx="1393">
                  <c:v>43945</c:v>
                </c:pt>
                <c:pt idx="1394">
                  <c:v>43946</c:v>
                </c:pt>
                <c:pt idx="1395">
                  <c:v>43947</c:v>
                </c:pt>
                <c:pt idx="1396">
                  <c:v>43948</c:v>
                </c:pt>
                <c:pt idx="1397">
                  <c:v>43949</c:v>
                </c:pt>
                <c:pt idx="1398">
                  <c:v>43950</c:v>
                </c:pt>
                <c:pt idx="1399">
                  <c:v>43951</c:v>
                </c:pt>
                <c:pt idx="1400">
                  <c:v>43952</c:v>
                </c:pt>
                <c:pt idx="1401">
                  <c:v>43953</c:v>
                </c:pt>
                <c:pt idx="1402">
                  <c:v>43954</c:v>
                </c:pt>
                <c:pt idx="1403">
                  <c:v>43955</c:v>
                </c:pt>
                <c:pt idx="1404">
                  <c:v>43956</c:v>
                </c:pt>
                <c:pt idx="1405">
                  <c:v>43957</c:v>
                </c:pt>
                <c:pt idx="1406">
                  <c:v>43958</c:v>
                </c:pt>
                <c:pt idx="1407">
                  <c:v>43959</c:v>
                </c:pt>
                <c:pt idx="1408">
                  <c:v>43960</c:v>
                </c:pt>
                <c:pt idx="1409">
                  <c:v>43961</c:v>
                </c:pt>
                <c:pt idx="1410">
                  <c:v>43962</c:v>
                </c:pt>
                <c:pt idx="1411">
                  <c:v>43963</c:v>
                </c:pt>
                <c:pt idx="1412">
                  <c:v>43964</c:v>
                </c:pt>
                <c:pt idx="1413">
                  <c:v>43965</c:v>
                </c:pt>
                <c:pt idx="1414">
                  <c:v>43966</c:v>
                </c:pt>
                <c:pt idx="1415">
                  <c:v>43967</c:v>
                </c:pt>
                <c:pt idx="1416">
                  <c:v>43968</c:v>
                </c:pt>
                <c:pt idx="1417">
                  <c:v>43969</c:v>
                </c:pt>
                <c:pt idx="1418">
                  <c:v>43970</c:v>
                </c:pt>
                <c:pt idx="1419">
                  <c:v>43971</c:v>
                </c:pt>
                <c:pt idx="1420">
                  <c:v>43972</c:v>
                </c:pt>
                <c:pt idx="1421">
                  <c:v>43973</c:v>
                </c:pt>
                <c:pt idx="1422">
                  <c:v>43974</c:v>
                </c:pt>
                <c:pt idx="1423">
                  <c:v>43975</c:v>
                </c:pt>
                <c:pt idx="1424">
                  <c:v>43976</c:v>
                </c:pt>
                <c:pt idx="1425">
                  <c:v>43977</c:v>
                </c:pt>
                <c:pt idx="1426">
                  <c:v>43978</c:v>
                </c:pt>
                <c:pt idx="1427">
                  <c:v>43979</c:v>
                </c:pt>
                <c:pt idx="1428">
                  <c:v>43980</c:v>
                </c:pt>
                <c:pt idx="1429">
                  <c:v>43981</c:v>
                </c:pt>
                <c:pt idx="1430">
                  <c:v>43982</c:v>
                </c:pt>
                <c:pt idx="1431">
                  <c:v>43983</c:v>
                </c:pt>
                <c:pt idx="1432">
                  <c:v>43984</c:v>
                </c:pt>
                <c:pt idx="1433">
                  <c:v>43985</c:v>
                </c:pt>
                <c:pt idx="1434">
                  <c:v>43986</c:v>
                </c:pt>
                <c:pt idx="1435">
                  <c:v>43987</c:v>
                </c:pt>
                <c:pt idx="1436">
                  <c:v>43988</c:v>
                </c:pt>
                <c:pt idx="1437">
                  <c:v>43989</c:v>
                </c:pt>
                <c:pt idx="1438">
                  <c:v>43990</c:v>
                </c:pt>
                <c:pt idx="1439">
                  <c:v>43991</c:v>
                </c:pt>
                <c:pt idx="1440">
                  <c:v>43992</c:v>
                </c:pt>
                <c:pt idx="1441">
                  <c:v>43993</c:v>
                </c:pt>
                <c:pt idx="1442">
                  <c:v>43994</c:v>
                </c:pt>
                <c:pt idx="1443">
                  <c:v>43995</c:v>
                </c:pt>
                <c:pt idx="1444">
                  <c:v>43996</c:v>
                </c:pt>
                <c:pt idx="1445">
                  <c:v>43997</c:v>
                </c:pt>
                <c:pt idx="1446">
                  <c:v>43998</c:v>
                </c:pt>
                <c:pt idx="1447">
                  <c:v>43999</c:v>
                </c:pt>
                <c:pt idx="1448">
                  <c:v>44000</c:v>
                </c:pt>
                <c:pt idx="1449">
                  <c:v>44001</c:v>
                </c:pt>
                <c:pt idx="1450">
                  <c:v>44002</c:v>
                </c:pt>
                <c:pt idx="1451">
                  <c:v>44003</c:v>
                </c:pt>
                <c:pt idx="1452">
                  <c:v>44004</c:v>
                </c:pt>
                <c:pt idx="1453">
                  <c:v>44005</c:v>
                </c:pt>
                <c:pt idx="1454">
                  <c:v>44006</c:v>
                </c:pt>
                <c:pt idx="1455">
                  <c:v>44007</c:v>
                </c:pt>
                <c:pt idx="1456">
                  <c:v>44008</c:v>
                </c:pt>
                <c:pt idx="1457">
                  <c:v>44009</c:v>
                </c:pt>
                <c:pt idx="1458">
                  <c:v>44010</c:v>
                </c:pt>
                <c:pt idx="1459">
                  <c:v>44011</c:v>
                </c:pt>
                <c:pt idx="1460">
                  <c:v>44012</c:v>
                </c:pt>
                <c:pt idx="1461">
                  <c:v>44013</c:v>
                </c:pt>
                <c:pt idx="1462">
                  <c:v>44014</c:v>
                </c:pt>
                <c:pt idx="1463">
                  <c:v>44015</c:v>
                </c:pt>
                <c:pt idx="1464">
                  <c:v>44016</c:v>
                </c:pt>
                <c:pt idx="1465">
                  <c:v>44017</c:v>
                </c:pt>
                <c:pt idx="1466">
                  <c:v>44018</c:v>
                </c:pt>
                <c:pt idx="1467">
                  <c:v>44019</c:v>
                </c:pt>
                <c:pt idx="1468">
                  <c:v>44020</c:v>
                </c:pt>
                <c:pt idx="1469">
                  <c:v>44021</c:v>
                </c:pt>
                <c:pt idx="1470">
                  <c:v>44022</c:v>
                </c:pt>
                <c:pt idx="1471">
                  <c:v>44023</c:v>
                </c:pt>
                <c:pt idx="1472">
                  <c:v>44024</c:v>
                </c:pt>
                <c:pt idx="1473">
                  <c:v>44025</c:v>
                </c:pt>
                <c:pt idx="1474">
                  <c:v>44026</c:v>
                </c:pt>
                <c:pt idx="1475">
                  <c:v>44027</c:v>
                </c:pt>
                <c:pt idx="1476">
                  <c:v>44028</c:v>
                </c:pt>
                <c:pt idx="1477">
                  <c:v>44029</c:v>
                </c:pt>
                <c:pt idx="1478">
                  <c:v>44030</c:v>
                </c:pt>
                <c:pt idx="1479">
                  <c:v>44031</c:v>
                </c:pt>
                <c:pt idx="1480">
                  <c:v>44032</c:v>
                </c:pt>
                <c:pt idx="1481">
                  <c:v>44033</c:v>
                </c:pt>
                <c:pt idx="1482">
                  <c:v>44034</c:v>
                </c:pt>
                <c:pt idx="1483">
                  <c:v>44035</c:v>
                </c:pt>
                <c:pt idx="1484">
                  <c:v>44036</c:v>
                </c:pt>
                <c:pt idx="1485">
                  <c:v>44037</c:v>
                </c:pt>
                <c:pt idx="1486">
                  <c:v>44038</c:v>
                </c:pt>
                <c:pt idx="1487">
                  <c:v>44039</c:v>
                </c:pt>
                <c:pt idx="1488">
                  <c:v>44040</c:v>
                </c:pt>
                <c:pt idx="1489">
                  <c:v>44041</c:v>
                </c:pt>
                <c:pt idx="1490">
                  <c:v>44042</c:v>
                </c:pt>
                <c:pt idx="1491">
                  <c:v>44043</c:v>
                </c:pt>
                <c:pt idx="1492">
                  <c:v>44044</c:v>
                </c:pt>
                <c:pt idx="1493">
                  <c:v>44045</c:v>
                </c:pt>
                <c:pt idx="1494">
                  <c:v>44046</c:v>
                </c:pt>
                <c:pt idx="1495">
                  <c:v>44047</c:v>
                </c:pt>
                <c:pt idx="1496">
                  <c:v>44048</c:v>
                </c:pt>
                <c:pt idx="1497">
                  <c:v>44049</c:v>
                </c:pt>
                <c:pt idx="1498">
                  <c:v>44050</c:v>
                </c:pt>
                <c:pt idx="1499">
                  <c:v>44051</c:v>
                </c:pt>
                <c:pt idx="1500">
                  <c:v>44052</c:v>
                </c:pt>
                <c:pt idx="1501">
                  <c:v>44053</c:v>
                </c:pt>
                <c:pt idx="1502">
                  <c:v>44054</c:v>
                </c:pt>
                <c:pt idx="1503">
                  <c:v>44055</c:v>
                </c:pt>
                <c:pt idx="1504">
                  <c:v>44056</c:v>
                </c:pt>
                <c:pt idx="1505">
                  <c:v>44057</c:v>
                </c:pt>
                <c:pt idx="1506">
                  <c:v>44058</c:v>
                </c:pt>
                <c:pt idx="1507">
                  <c:v>44059</c:v>
                </c:pt>
                <c:pt idx="1508">
                  <c:v>44060</c:v>
                </c:pt>
                <c:pt idx="1509">
                  <c:v>44061</c:v>
                </c:pt>
                <c:pt idx="1510">
                  <c:v>44062</c:v>
                </c:pt>
                <c:pt idx="1511">
                  <c:v>44063</c:v>
                </c:pt>
                <c:pt idx="1512">
                  <c:v>44064</c:v>
                </c:pt>
                <c:pt idx="1513">
                  <c:v>44065</c:v>
                </c:pt>
                <c:pt idx="1514">
                  <c:v>44066</c:v>
                </c:pt>
                <c:pt idx="1515">
                  <c:v>44067</c:v>
                </c:pt>
                <c:pt idx="1516">
                  <c:v>44068</c:v>
                </c:pt>
                <c:pt idx="1517">
                  <c:v>44069</c:v>
                </c:pt>
                <c:pt idx="1518">
                  <c:v>44070</c:v>
                </c:pt>
                <c:pt idx="1519">
                  <c:v>44071</c:v>
                </c:pt>
                <c:pt idx="1520">
                  <c:v>44072</c:v>
                </c:pt>
                <c:pt idx="1521">
                  <c:v>44073</c:v>
                </c:pt>
                <c:pt idx="1522">
                  <c:v>44074</c:v>
                </c:pt>
                <c:pt idx="1523">
                  <c:v>44075</c:v>
                </c:pt>
                <c:pt idx="1524">
                  <c:v>44076</c:v>
                </c:pt>
                <c:pt idx="1525">
                  <c:v>44077</c:v>
                </c:pt>
                <c:pt idx="1526">
                  <c:v>44078</c:v>
                </c:pt>
                <c:pt idx="1527">
                  <c:v>44079</c:v>
                </c:pt>
                <c:pt idx="1528">
                  <c:v>44080</c:v>
                </c:pt>
                <c:pt idx="1529">
                  <c:v>44081</c:v>
                </c:pt>
                <c:pt idx="1530">
                  <c:v>44082</c:v>
                </c:pt>
                <c:pt idx="1531">
                  <c:v>44083</c:v>
                </c:pt>
                <c:pt idx="1532">
                  <c:v>44084</c:v>
                </c:pt>
                <c:pt idx="1533">
                  <c:v>44085</c:v>
                </c:pt>
                <c:pt idx="1534">
                  <c:v>44086</c:v>
                </c:pt>
                <c:pt idx="1535">
                  <c:v>44087</c:v>
                </c:pt>
                <c:pt idx="1536">
                  <c:v>44088</c:v>
                </c:pt>
                <c:pt idx="1537">
                  <c:v>44089</c:v>
                </c:pt>
                <c:pt idx="1538">
                  <c:v>44090</c:v>
                </c:pt>
                <c:pt idx="1539">
                  <c:v>44091</c:v>
                </c:pt>
                <c:pt idx="1540">
                  <c:v>44092</c:v>
                </c:pt>
                <c:pt idx="1541">
                  <c:v>44093</c:v>
                </c:pt>
                <c:pt idx="1542">
                  <c:v>44094</c:v>
                </c:pt>
                <c:pt idx="1543">
                  <c:v>44095</c:v>
                </c:pt>
                <c:pt idx="1544">
                  <c:v>44096</c:v>
                </c:pt>
                <c:pt idx="1545">
                  <c:v>44097</c:v>
                </c:pt>
                <c:pt idx="1546">
                  <c:v>44098</c:v>
                </c:pt>
                <c:pt idx="1547">
                  <c:v>44099</c:v>
                </c:pt>
                <c:pt idx="1548">
                  <c:v>44100</c:v>
                </c:pt>
                <c:pt idx="1549">
                  <c:v>44101</c:v>
                </c:pt>
                <c:pt idx="1550">
                  <c:v>44102</c:v>
                </c:pt>
                <c:pt idx="1551">
                  <c:v>44103</c:v>
                </c:pt>
                <c:pt idx="1552">
                  <c:v>44104</c:v>
                </c:pt>
                <c:pt idx="1553">
                  <c:v>44105</c:v>
                </c:pt>
                <c:pt idx="1554">
                  <c:v>44106</c:v>
                </c:pt>
                <c:pt idx="1555">
                  <c:v>44107</c:v>
                </c:pt>
                <c:pt idx="1556">
                  <c:v>44108</c:v>
                </c:pt>
                <c:pt idx="1557">
                  <c:v>44109</c:v>
                </c:pt>
                <c:pt idx="1558">
                  <c:v>44110</c:v>
                </c:pt>
                <c:pt idx="1559">
                  <c:v>44111</c:v>
                </c:pt>
                <c:pt idx="1560">
                  <c:v>44112</c:v>
                </c:pt>
                <c:pt idx="1561">
                  <c:v>44113</c:v>
                </c:pt>
                <c:pt idx="1562">
                  <c:v>44114</c:v>
                </c:pt>
                <c:pt idx="1563">
                  <c:v>44115</c:v>
                </c:pt>
                <c:pt idx="1564">
                  <c:v>44116</c:v>
                </c:pt>
                <c:pt idx="1565">
                  <c:v>44117</c:v>
                </c:pt>
                <c:pt idx="1566">
                  <c:v>44118</c:v>
                </c:pt>
                <c:pt idx="1567">
                  <c:v>44119</c:v>
                </c:pt>
                <c:pt idx="1568">
                  <c:v>44120</c:v>
                </c:pt>
                <c:pt idx="1569">
                  <c:v>44121</c:v>
                </c:pt>
                <c:pt idx="1570">
                  <c:v>44122</c:v>
                </c:pt>
                <c:pt idx="1571">
                  <c:v>44123</c:v>
                </c:pt>
                <c:pt idx="1572">
                  <c:v>44124</c:v>
                </c:pt>
                <c:pt idx="1573">
                  <c:v>44125</c:v>
                </c:pt>
                <c:pt idx="1574">
                  <c:v>44126</c:v>
                </c:pt>
                <c:pt idx="1575">
                  <c:v>44127</c:v>
                </c:pt>
                <c:pt idx="1576">
                  <c:v>44128</c:v>
                </c:pt>
                <c:pt idx="1577">
                  <c:v>44129</c:v>
                </c:pt>
                <c:pt idx="1578">
                  <c:v>44130</c:v>
                </c:pt>
                <c:pt idx="1579">
                  <c:v>44131</c:v>
                </c:pt>
                <c:pt idx="1580">
                  <c:v>44132</c:v>
                </c:pt>
                <c:pt idx="1581">
                  <c:v>44133</c:v>
                </c:pt>
                <c:pt idx="1582">
                  <c:v>44134</c:v>
                </c:pt>
                <c:pt idx="1583">
                  <c:v>44135</c:v>
                </c:pt>
                <c:pt idx="1584">
                  <c:v>44136</c:v>
                </c:pt>
                <c:pt idx="1585">
                  <c:v>44137</c:v>
                </c:pt>
                <c:pt idx="1586">
                  <c:v>44138</c:v>
                </c:pt>
                <c:pt idx="1587">
                  <c:v>44139</c:v>
                </c:pt>
                <c:pt idx="1588">
                  <c:v>44140</c:v>
                </c:pt>
                <c:pt idx="1589">
                  <c:v>44141</c:v>
                </c:pt>
                <c:pt idx="1590">
                  <c:v>44142</c:v>
                </c:pt>
                <c:pt idx="1591">
                  <c:v>44143</c:v>
                </c:pt>
                <c:pt idx="1592">
                  <c:v>44144</c:v>
                </c:pt>
                <c:pt idx="1593">
                  <c:v>44145</c:v>
                </c:pt>
                <c:pt idx="1594">
                  <c:v>44146</c:v>
                </c:pt>
                <c:pt idx="1595">
                  <c:v>44147</c:v>
                </c:pt>
                <c:pt idx="1596">
                  <c:v>44148</c:v>
                </c:pt>
                <c:pt idx="1597">
                  <c:v>44149</c:v>
                </c:pt>
                <c:pt idx="1598">
                  <c:v>44150</c:v>
                </c:pt>
                <c:pt idx="1599">
                  <c:v>44151</c:v>
                </c:pt>
                <c:pt idx="1600">
                  <c:v>44152</c:v>
                </c:pt>
                <c:pt idx="1601">
                  <c:v>44153</c:v>
                </c:pt>
                <c:pt idx="1602">
                  <c:v>44154</c:v>
                </c:pt>
                <c:pt idx="1603">
                  <c:v>44155</c:v>
                </c:pt>
                <c:pt idx="1604">
                  <c:v>44156</c:v>
                </c:pt>
                <c:pt idx="1605">
                  <c:v>44157</c:v>
                </c:pt>
                <c:pt idx="1606">
                  <c:v>44158</c:v>
                </c:pt>
                <c:pt idx="1607">
                  <c:v>44159</c:v>
                </c:pt>
                <c:pt idx="1608">
                  <c:v>44160</c:v>
                </c:pt>
                <c:pt idx="1609">
                  <c:v>44161</c:v>
                </c:pt>
                <c:pt idx="1610">
                  <c:v>44162</c:v>
                </c:pt>
                <c:pt idx="1611">
                  <c:v>44163</c:v>
                </c:pt>
                <c:pt idx="1612">
                  <c:v>44164</c:v>
                </c:pt>
                <c:pt idx="1613">
                  <c:v>44165</c:v>
                </c:pt>
                <c:pt idx="1614">
                  <c:v>44166</c:v>
                </c:pt>
                <c:pt idx="1615">
                  <c:v>44167</c:v>
                </c:pt>
                <c:pt idx="1616">
                  <c:v>44168</c:v>
                </c:pt>
                <c:pt idx="1617">
                  <c:v>44169</c:v>
                </c:pt>
                <c:pt idx="1618">
                  <c:v>44170</c:v>
                </c:pt>
                <c:pt idx="1619">
                  <c:v>44171</c:v>
                </c:pt>
                <c:pt idx="1620">
                  <c:v>44172</c:v>
                </c:pt>
                <c:pt idx="1621">
                  <c:v>44173</c:v>
                </c:pt>
                <c:pt idx="1622">
                  <c:v>44174</c:v>
                </c:pt>
                <c:pt idx="1623">
                  <c:v>44175</c:v>
                </c:pt>
                <c:pt idx="1624">
                  <c:v>44176</c:v>
                </c:pt>
                <c:pt idx="1625">
                  <c:v>44177</c:v>
                </c:pt>
                <c:pt idx="1626">
                  <c:v>44178</c:v>
                </c:pt>
                <c:pt idx="1627">
                  <c:v>44179</c:v>
                </c:pt>
                <c:pt idx="1628">
                  <c:v>44180</c:v>
                </c:pt>
                <c:pt idx="1629">
                  <c:v>44181</c:v>
                </c:pt>
                <c:pt idx="1630">
                  <c:v>44182</c:v>
                </c:pt>
                <c:pt idx="1631">
                  <c:v>44183</c:v>
                </c:pt>
                <c:pt idx="1632">
                  <c:v>44184</c:v>
                </c:pt>
                <c:pt idx="1633">
                  <c:v>44185</c:v>
                </c:pt>
                <c:pt idx="1634">
                  <c:v>44186</c:v>
                </c:pt>
                <c:pt idx="1635">
                  <c:v>44187</c:v>
                </c:pt>
                <c:pt idx="1636">
                  <c:v>44188</c:v>
                </c:pt>
                <c:pt idx="1637">
                  <c:v>44189</c:v>
                </c:pt>
                <c:pt idx="1638">
                  <c:v>44190</c:v>
                </c:pt>
                <c:pt idx="1639">
                  <c:v>44191</c:v>
                </c:pt>
                <c:pt idx="1640">
                  <c:v>44192</c:v>
                </c:pt>
                <c:pt idx="1641">
                  <c:v>44193</c:v>
                </c:pt>
                <c:pt idx="1642">
                  <c:v>44194</c:v>
                </c:pt>
                <c:pt idx="1643">
                  <c:v>44195</c:v>
                </c:pt>
                <c:pt idx="1644">
                  <c:v>44196</c:v>
                </c:pt>
                <c:pt idx="1645">
                  <c:v>44197</c:v>
                </c:pt>
                <c:pt idx="1646">
                  <c:v>44198</c:v>
                </c:pt>
                <c:pt idx="1647">
                  <c:v>44199</c:v>
                </c:pt>
                <c:pt idx="1648">
                  <c:v>44200</c:v>
                </c:pt>
                <c:pt idx="1649">
                  <c:v>44201</c:v>
                </c:pt>
                <c:pt idx="1650">
                  <c:v>44202</c:v>
                </c:pt>
                <c:pt idx="1651">
                  <c:v>44203</c:v>
                </c:pt>
                <c:pt idx="1652">
                  <c:v>44204</c:v>
                </c:pt>
                <c:pt idx="1653">
                  <c:v>44205</c:v>
                </c:pt>
                <c:pt idx="1654">
                  <c:v>44206</c:v>
                </c:pt>
                <c:pt idx="1655">
                  <c:v>44207</c:v>
                </c:pt>
                <c:pt idx="1656">
                  <c:v>44208</c:v>
                </c:pt>
                <c:pt idx="1657">
                  <c:v>44209</c:v>
                </c:pt>
                <c:pt idx="1658">
                  <c:v>44210</c:v>
                </c:pt>
                <c:pt idx="1659">
                  <c:v>44211</c:v>
                </c:pt>
                <c:pt idx="1660">
                  <c:v>44212</c:v>
                </c:pt>
                <c:pt idx="1661">
                  <c:v>44213</c:v>
                </c:pt>
                <c:pt idx="1662">
                  <c:v>44214</c:v>
                </c:pt>
                <c:pt idx="1663">
                  <c:v>44215</c:v>
                </c:pt>
                <c:pt idx="1664">
                  <c:v>44216</c:v>
                </c:pt>
                <c:pt idx="1665">
                  <c:v>44217</c:v>
                </c:pt>
                <c:pt idx="1666">
                  <c:v>44218</c:v>
                </c:pt>
                <c:pt idx="1667">
                  <c:v>44219</c:v>
                </c:pt>
                <c:pt idx="1668">
                  <c:v>44220</c:v>
                </c:pt>
                <c:pt idx="1669">
                  <c:v>44221</c:v>
                </c:pt>
                <c:pt idx="1670">
                  <c:v>44222</c:v>
                </c:pt>
                <c:pt idx="1671">
                  <c:v>44223</c:v>
                </c:pt>
                <c:pt idx="1672">
                  <c:v>44224</c:v>
                </c:pt>
                <c:pt idx="1673">
                  <c:v>44225</c:v>
                </c:pt>
                <c:pt idx="1674">
                  <c:v>44226</c:v>
                </c:pt>
                <c:pt idx="1675">
                  <c:v>44227</c:v>
                </c:pt>
                <c:pt idx="1676">
                  <c:v>44228</c:v>
                </c:pt>
                <c:pt idx="1677">
                  <c:v>44229</c:v>
                </c:pt>
                <c:pt idx="1678">
                  <c:v>44230</c:v>
                </c:pt>
                <c:pt idx="1679">
                  <c:v>44231</c:v>
                </c:pt>
                <c:pt idx="1680">
                  <c:v>44232</c:v>
                </c:pt>
                <c:pt idx="1681">
                  <c:v>44233</c:v>
                </c:pt>
                <c:pt idx="1682">
                  <c:v>44234</c:v>
                </c:pt>
                <c:pt idx="1683">
                  <c:v>44235</c:v>
                </c:pt>
                <c:pt idx="1684">
                  <c:v>44236</c:v>
                </c:pt>
                <c:pt idx="1685">
                  <c:v>44237</c:v>
                </c:pt>
                <c:pt idx="1686">
                  <c:v>44238</c:v>
                </c:pt>
                <c:pt idx="1687">
                  <c:v>44239</c:v>
                </c:pt>
                <c:pt idx="1688">
                  <c:v>44240</c:v>
                </c:pt>
                <c:pt idx="1689">
                  <c:v>44241</c:v>
                </c:pt>
                <c:pt idx="1690">
                  <c:v>44242</c:v>
                </c:pt>
                <c:pt idx="1691">
                  <c:v>44243</c:v>
                </c:pt>
                <c:pt idx="1692">
                  <c:v>44244</c:v>
                </c:pt>
                <c:pt idx="1693">
                  <c:v>44245</c:v>
                </c:pt>
                <c:pt idx="1694">
                  <c:v>44246</c:v>
                </c:pt>
                <c:pt idx="1695">
                  <c:v>44247</c:v>
                </c:pt>
                <c:pt idx="1696">
                  <c:v>44248</c:v>
                </c:pt>
                <c:pt idx="1697">
                  <c:v>44249</c:v>
                </c:pt>
                <c:pt idx="1698">
                  <c:v>44250</c:v>
                </c:pt>
                <c:pt idx="1699">
                  <c:v>44251</c:v>
                </c:pt>
                <c:pt idx="1700">
                  <c:v>44252</c:v>
                </c:pt>
                <c:pt idx="1701">
                  <c:v>44253</c:v>
                </c:pt>
                <c:pt idx="1702">
                  <c:v>44254</c:v>
                </c:pt>
                <c:pt idx="1703">
                  <c:v>44255</c:v>
                </c:pt>
                <c:pt idx="1704">
                  <c:v>44256</c:v>
                </c:pt>
                <c:pt idx="1705">
                  <c:v>44257</c:v>
                </c:pt>
                <c:pt idx="1706">
                  <c:v>44258</c:v>
                </c:pt>
                <c:pt idx="1707">
                  <c:v>44259</c:v>
                </c:pt>
                <c:pt idx="1708">
                  <c:v>44260</c:v>
                </c:pt>
                <c:pt idx="1709">
                  <c:v>44261</c:v>
                </c:pt>
                <c:pt idx="1710">
                  <c:v>44262</c:v>
                </c:pt>
                <c:pt idx="1711">
                  <c:v>44263</c:v>
                </c:pt>
                <c:pt idx="1712">
                  <c:v>44264</c:v>
                </c:pt>
                <c:pt idx="1713">
                  <c:v>44265</c:v>
                </c:pt>
                <c:pt idx="1714">
                  <c:v>44266</c:v>
                </c:pt>
                <c:pt idx="1715">
                  <c:v>44267</c:v>
                </c:pt>
                <c:pt idx="1716">
                  <c:v>44268</c:v>
                </c:pt>
                <c:pt idx="1717">
                  <c:v>44269</c:v>
                </c:pt>
                <c:pt idx="1718">
                  <c:v>44270</c:v>
                </c:pt>
                <c:pt idx="1719">
                  <c:v>44271</c:v>
                </c:pt>
                <c:pt idx="1720">
                  <c:v>44272</c:v>
                </c:pt>
                <c:pt idx="1721">
                  <c:v>44273</c:v>
                </c:pt>
                <c:pt idx="1722">
                  <c:v>44274</c:v>
                </c:pt>
                <c:pt idx="1723">
                  <c:v>44275</c:v>
                </c:pt>
                <c:pt idx="1724">
                  <c:v>44276</c:v>
                </c:pt>
                <c:pt idx="1725">
                  <c:v>44277</c:v>
                </c:pt>
                <c:pt idx="1726">
                  <c:v>44278</c:v>
                </c:pt>
                <c:pt idx="1727">
                  <c:v>44279</c:v>
                </c:pt>
                <c:pt idx="1728">
                  <c:v>44280</c:v>
                </c:pt>
                <c:pt idx="1729">
                  <c:v>44281</c:v>
                </c:pt>
                <c:pt idx="1730">
                  <c:v>44282</c:v>
                </c:pt>
                <c:pt idx="1731">
                  <c:v>44283</c:v>
                </c:pt>
                <c:pt idx="1732">
                  <c:v>44284</c:v>
                </c:pt>
                <c:pt idx="1733">
                  <c:v>44285</c:v>
                </c:pt>
                <c:pt idx="1734">
                  <c:v>44286</c:v>
                </c:pt>
                <c:pt idx="1735">
                  <c:v>44287</c:v>
                </c:pt>
                <c:pt idx="1736">
                  <c:v>44288</c:v>
                </c:pt>
                <c:pt idx="1737">
                  <c:v>44289</c:v>
                </c:pt>
                <c:pt idx="1738">
                  <c:v>44290</c:v>
                </c:pt>
                <c:pt idx="1739">
                  <c:v>44291</c:v>
                </c:pt>
                <c:pt idx="1740">
                  <c:v>44292</c:v>
                </c:pt>
                <c:pt idx="1741">
                  <c:v>44293</c:v>
                </c:pt>
                <c:pt idx="1742">
                  <c:v>44294</c:v>
                </c:pt>
                <c:pt idx="1743">
                  <c:v>44295</c:v>
                </c:pt>
                <c:pt idx="1744">
                  <c:v>44296</c:v>
                </c:pt>
                <c:pt idx="1745">
                  <c:v>44297</c:v>
                </c:pt>
                <c:pt idx="1746">
                  <c:v>44298</c:v>
                </c:pt>
                <c:pt idx="1747">
                  <c:v>44299</c:v>
                </c:pt>
                <c:pt idx="1748">
                  <c:v>44300</c:v>
                </c:pt>
                <c:pt idx="1749">
                  <c:v>44301</c:v>
                </c:pt>
                <c:pt idx="1750">
                  <c:v>44302</c:v>
                </c:pt>
                <c:pt idx="1751">
                  <c:v>44303</c:v>
                </c:pt>
                <c:pt idx="1752">
                  <c:v>44304</c:v>
                </c:pt>
                <c:pt idx="1753">
                  <c:v>44305</c:v>
                </c:pt>
                <c:pt idx="1754">
                  <c:v>44306</c:v>
                </c:pt>
                <c:pt idx="1755">
                  <c:v>44307</c:v>
                </c:pt>
                <c:pt idx="1756">
                  <c:v>44308</c:v>
                </c:pt>
                <c:pt idx="1757">
                  <c:v>44309</c:v>
                </c:pt>
                <c:pt idx="1758">
                  <c:v>44310</c:v>
                </c:pt>
                <c:pt idx="1759">
                  <c:v>44311</c:v>
                </c:pt>
                <c:pt idx="1760">
                  <c:v>44312</c:v>
                </c:pt>
                <c:pt idx="1761">
                  <c:v>44313</c:v>
                </c:pt>
                <c:pt idx="1762">
                  <c:v>44314</c:v>
                </c:pt>
                <c:pt idx="1763">
                  <c:v>44315</c:v>
                </c:pt>
                <c:pt idx="1764">
                  <c:v>44316</c:v>
                </c:pt>
                <c:pt idx="1765">
                  <c:v>44317</c:v>
                </c:pt>
                <c:pt idx="1766">
                  <c:v>44318</c:v>
                </c:pt>
                <c:pt idx="1767">
                  <c:v>44319</c:v>
                </c:pt>
                <c:pt idx="1768">
                  <c:v>44320</c:v>
                </c:pt>
                <c:pt idx="1769">
                  <c:v>44321</c:v>
                </c:pt>
                <c:pt idx="1770">
                  <c:v>44322</c:v>
                </c:pt>
                <c:pt idx="1771">
                  <c:v>44323</c:v>
                </c:pt>
                <c:pt idx="1772">
                  <c:v>44324</c:v>
                </c:pt>
                <c:pt idx="1773">
                  <c:v>44325</c:v>
                </c:pt>
                <c:pt idx="1774">
                  <c:v>44326</c:v>
                </c:pt>
                <c:pt idx="1775">
                  <c:v>44327</c:v>
                </c:pt>
                <c:pt idx="1776">
                  <c:v>44328</c:v>
                </c:pt>
                <c:pt idx="1777">
                  <c:v>44329</c:v>
                </c:pt>
                <c:pt idx="1778">
                  <c:v>44330</c:v>
                </c:pt>
                <c:pt idx="1779">
                  <c:v>44331</c:v>
                </c:pt>
                <c:pt idx="1780">
                  <c:v>44332</c:v>
                </c:pt>
                <c:pt idx="1781">
                  <c:v>44333</c:v>
                </c:pt>
                <c:pt idx="1782">
                  <c:v>44334</c:v>
                </c:pt>
                <c:pt idx="1783">
                  <c:v>44335</c:v>
                </c:pt>
                <c:pt idx="1784">
                  <c:v>44336</c:v>
                </c:pt>
                <c:pt idx="1785">
                  <c:v>44337</c:v>
                </c:pt>
                <c:pt idx="1786">
                  <c:v>44338</c:v>
                </c:pt>
                <c:pt idx="1787">
                  <c:v>44339</c:v>
                </c:pt>
                <c:pt idx="1788">
                  <c:v>44340</c:v>
                </c:pt>
                <c:pt idx="1789">
                  <c:v>44341</c:v>
                </c:pt>
                <c:pt idx="1790">
                  <c:v>44342</c:v>
                </c:pt>
                <c:pt idx="1791">
                  <c:v>44343</c:v>
                </c:pt>
                <c:pt idx="1792">
                  <c:v>44344</c:v>
                </c:pt>
                <c:pt idx="1793">
                  <c:v>44345</c:v>
                </c:pt>
                <c:pt idx="1794">
                  <c:v>44346</c:v>
                </c:pt>
                <c:pt idx="1795">
                  <c:v>44347</c:v>
                </c:pt>
                <c:pt idx="1796">
                  <c:v>44348</c:v>
                </c:pt>
                <c:pt idx="1797">
                  <c:v>44349</c:v>
                </c:pt>
                <c:pt idx="1798">
                  <c:v>44350</c:v>
                </c:pt>
                <c:pt idx="1799">
                  <c:v>44351</c:v>
                </c:pt>
                <c:pt idx="1800">
                  <c:v>44352</c:v>
                </c:pt>
              </c:numCache>
            </c:numRef>
          </c:cat>
          <c:val>
            <c:numRef>
              <c:f>'Bitcoin MA model'!$G$2:$G$1802</c:f>
              <c:numCache>
                <c:formatCode>0.00%</c:formatCode>
                <c:ptCount val="1801"/>
                <c:pt idx="0">
                  <c:v>1</c:v>
                </c:pt>
                <c:pt idx="1">
                  <c:v>1.0405236821584081</c:v>
                </c:pt>
                <c:pt idx="2">
                  <c:v>0.97392854688997199</c:v>
                </c:pt>
                <c:pt idx="3">
                  <c:v>1.0108916299538599</c:v>
                </c:pt>
                <c:pt idx="4">
                  <c:v>0.9916175656458579</c:v>
                </c:pt>
                <c:pt idx="5">
                  <c:v>1.0015303550041144</c:v>
                </c:pt>
                <c:pt idx="6">
                  <c:v>0.94716217767012401</c:v>
                </c:pt>
                <c:pt idx="7">
                  <c:v>0.98554921114935845</c:v>
                </c:pt>
                <c:pt idx="8">
                  <c:v>0.96253711656836727</c:v>
                </c:pt>
                <c:pt idx="9">
                  <c:v>0.96017123395141202</c:v>
                </c:pt>
                <c:pt idx="10">
                  <c:v>0.95765608090129517</c:v>
                </c:pt>
                <c:pt idx="11">
                  <c:v>0.98263335043338962</c:v>
                </c:pt>
                <c:pt idx="12">
                  <c:v>0.96772418834030083</c:v>
                </c:pt>
                <c:pt idx="13">
                  <c:v>0.9730620653762504</c:v>
                </c:pt>
                <c:pt idx="14">
                  <c:v>0.98071700025572084</c:v>
                </c:pt>
                <c:pt idx="15">
                  <c:v>0.97703817334746668</c:v>
                </c:pt>
                <c:pt idx="16">
                  <c:v>1.0046768913342459</c:v>
                </c:pt>
                <c:pt idx="17">
                  <c:v>0.99528312617412218</c:v>
                </c:pt>
                <c:pt idx="18">
                  <c:v>0.99492528878859077</c:v>
                </c:pt>
                <c:pt idx="19">
                  <c:v>0.98431009103926081</c:v>
                </c:pt>
                <c:pt idx="20">
                  <c:v>0.98331500312050468</c:v>
                </c:pt>
                <c:pt idx="21">
                  <c:v>0.962032895059721</c:v>
                </c:pt>
                <c:pt idx="22">
                  <c:v>0.96933296906089561</c:v>
                </c:pt>
                <c:pt idx="23">
                  <c:v>0.97780402732844096</c:v>
                </c:pt>
                <c:pt idx="24">
                  <c:v>0.96717556319912146</c:v>
                </c:pt>
                <c:pt idx="25">
                  <c:v>0.96375548097450636</c:v>
                </c:pt>
                <c:pt idx="26">
                  <c:v>0.9675526244150412</c:v>
                </c:pt>
                <c:pt idx="27">
                  <c:v>0.9685625120659993</c:v>
                </c:pt>
                <c:pt idx="28">
                  <c:v>0.97145626116289063</c:v>
                </c:pt>
                <c:pt idx="29">
                  <c:v>0.96858029126272183</c:v>
                </c:pt>
                <c:pt idx="30">
                  <c:v>0.92367988366443421</c:v>
                </c:pt>
                <c:pt idx="31">
                  <c:v>0.89645947066720921</c:v>
                </c:pt>
                <c:pt idx="32">
                  <c:v>0.80950502442775685</c:v>
                </c:pt>
                <c:pt idx="33">
                  <c:v>0.83743651066076541</c:v>
                </c:pt>
                <c:pt idx="34">
                  <c:v>0.85508266061497318</c:v>
                </c:pt>
                <c:pt idx="35">
                  <c:v>0.85028303012890238</c:v>
                </c:pt>
                <c:pt idx="36">
                  <c:v>0.86911351944801662</c:v>
                </c:pt>
                <c:pt idx="37">
                  <c:v>0.87637659190072303</c:v>
                </c:pt>
                <c:pt idx="38">
                  <c:v>0.87395755356662053</c:v>
                </c:pt>
                <c:pt idx="39">
                  <c:v>0.86914754301060682</c:v>
                </c:pt>
                <c:pt idx="40">
                  <c:v>0.87550866575333541</c:v>
                </c:pt>
                <c:pt idx="41">
                  <c:v>0.87109782803231917</c:v>
                </c:pt>
                <c:pt idx="42">
                  <c:v>0.86878970562507529</c:v>
                </c:pt>
                <c:pt idx="43">
                  <c:v>0.86587528954277226</c:v>
                </c:pt>
                <c:pt idx="44">
                  <c:v>0.8435256223398655</c:v>
                </c:pt>
                <c:pt idx="45">
                  <c:v>0.83874512400835166</c:v>
                </c:pt>
                <c:pt idx="46">
                  <c:v>0.85382585150534218</c:v>
                </c:pt>
                <c:pt idx="47">
                  <c:v>0.84758151046403951</c:v>
                </c:pt>
                <c:pt idx="48">
                  <c:v>0.84921095964868876</c:v>
                </c:pt>
                <c:pt idx="49">
                  <c:v>0.85115095627628978</c:v>
                </c:pt>
                <c:pt idx="50">
                  <c:v>0.86012190363012608</c:v>
                </c:pt>
                <c:pt idx="51">
                  <c:v>0.85954665553177911</c:v>
                </c:pt>
                <c:pt idx="52">
                  <c:v>0.86759787545755762</c:v>
                </c:pt>
                <c:pt idx="53">
                  <c:v>0.8626621477638412</c:v>
                </c:pt>
                <c:pt idx="54">
                  <c:v>0.85788173962951619</c:v>
                </c:pt>
                <c:pt idx="55">
                  <c:v>0.85430191522596555</c:v>
                </c:pt>
                <c:pt idx="56">
                  <c:v>0.85709657162096442</c:v>
                </c:pt>
                <c:pt idx="57">
                  <c:v>0.84274785493673599</c:v>
                </c:pt>
                <c:pt idx="58">
                  <c:v>0.84861062194538595</c:v>
                </c:pt>
                <c:pt idx="59">
                  <c:v>0.84889896905071371</c:v>
                </c:pt>
                <c:pt idx="60">
                  <c:v>0.8539204328691441</c:v>
                </c:pt>
                <c:pt idx="61">
                  <c:v>0.85091730119760656</c:v>
                </c:pt>
                <c:pt idx="62">
                  <c:v>0.84623147442708357</c:v>
                </c:pt>
                <c:pt idx="63">
                  <c:v>0.85101341591362079</c:v>
                </c:pt>
                <c:pt idx="64">
                  <c:v>0.88454161554204969</c:v>
                </c:pt>
                <c:pt idx="65">
                  <c:v>0.89995202263654883</c:v>
                </c:pt>
                <c:pt idx="66">
                  <c:v>0.89692975881045423</c:v>
                </c:pt>
                <c:pt idx="67">
                  <c:v>0.90261653927430074</c:v>
                </c:pt>
                <c:pt idx="68">
                  <c:v>0.90869084974255632</c:v>
                </c:pt>
                <c:pt idx="69">
                  <c:v>0.9260973886463244</c:v>
                </c:pt>
                <c:pt idx="70">
                  <c:v>0.92098874406951425</c:v>
                </c:pt>
                <c:pt idx="71">
                  <c:v>0.92194682896115954</c:v>
                </c:pt>
                <c:pt idx="72">
                  <c:v>0.89712045489027026</c:v>
                </c:pt>
                <c:pt idx="73">
                  <c:v>0.89937388674951224</c:v>
                </c:pt>
                <c:pt idx="74">
                  <c:v>0.90084964140281376</c:v>
                </c:pt>
                <c:pt idx="75">
                  <c:v>0.90298331209610916</c:v>
                </c:pt>
                <c:pt idx="76">
                  <c:v>0.89776519474746375</c:v>
                </c:pt>
                <c:pt idx="77">
                  <c:v>0.89749607147252441</c:v>
                </c:pt>
                <c:pt idx="78">
                  <c:v>0.89603367487504393</c:v>
                </c:pt>
                <c:pt idx="79">
                  <c:v>0.90178561467538176</c:v>
                </c:pt>
                <c:pt idx="80">
                  <c:v>0.90082888422021334</c:v>
                </c:pt>
                <c:pt idx="81">
                  <c:v>0.89947595891592558</c:v>
                </c:pt>
                <c:pt idx="82">
                  <c:v>0.88296983636992299</c:v>
                </c:pt>
                <c:pt idx="83">
                  <c:v>0.88171149242943714</c:v>
                </c:pt>
                <c:pt idx="84">
                  <c:v>0.89138773744167876</c:v>
                </c:pt>
                <c:pt idx="85">
                  <c:v>0.89106690160461566</c:v>
                </c:pt>
                <c:pt idx="86">
                  <c:v>0.88840680758640767</c:v>
                </c:pt>
                <c:pt idx="87">
                  <c:v>0.89907823071459425</c:v>
                </c:pt>
                <c:pt idx="88">
                  <c:v>0.89630279814998348</c:v>
                </c:pt>
                <c:pt idx="89">
                  <c:v>0.8941765265834678</c:v>
                </c:pt>
                <c:pt idx="90">
                  <c:v>0.89560336626614567</c:v>
                </c:pt>
                <c:pt idx="91">
                  <c:v>0.90158002718753238</c:v>
                </c:pt>
                <c:pt idx="92">
                  <c:v>0.90786127958011442</c:v>
                </c:pt>
                <c:pt idx="93">
                  <c:v>0.90329088155318282</c:v>
                </c:pt>
                <c:pt idx="94">
                  <c:v>0.90512582802849262</c:v>
                </c:pt>
                <c:pt idx="95">
                  <c:v>0.90227350162097109</c:v>
                </c:pt>
                <c:pt idx="96">
                  <c:v>0.90568474008514055</c:v>
                </c:pt>
                <c:pt idx="97">
                  <c:v>0.90643886251698014</c:v>
                </c:pt>
                <c:pt idx="98">
                  <c:v>0.91250126104172324</c:v>
                </c:pt>
                <c:pt idx="99">
                  <c:v>0.9154393220953162</c:v>
                </c:pt>
                <c:pt idx="100">
                  <c:v>0.91195570408361126</c:v>
                </c:pt>
                <c:pt idx="101">
                  <c:v>0.9152708278317665</c:v>
                </c:pt>
                <c:pt idx="102">
                  <c:v>0.94791629862332083</c:v>
                </c:pt>
                <c:pt idx="103">
                  <c:v>0.9407005175918367</c:v>
                </c:pt>
                <c:pt idx="104">
                  <c:v>0.94157882233052459</c:v>
                </c:pt>
                <c:pt idx="105">
                  <c:v>0.94689007640930611</c:v>
                </c:pt>
                <c:pt idx="106">
                  <c:v>0.94432907509299058</c:v>
                </c:pt>
                <c:pt idx="107">
                  <c:v>0.94874280060269611</c:v>
                </c:pt>
                <c:pt idx="108">
                  <c:v>0.94513788807283217</c:v>
                </c:pt>
                <c:pt idx="109">
                  <c:v>0.94331476482248855</c:v>
                </c:pt>
                <c:pt idx="110">
                  <c:v>0.93231366209679334</c:v>
                </c:pt>
                <c:pt idx="111">
                  <c:v>0.93281192763368315</c:v>
                </c:pt>
                <c:pt idx="112">
                  <c:v>0.93572634371598618</c:v>
                </c:pt>
                <c:pt idx="113">
                  <c:v>0.97190281413765667</c:v>
                </c:pt>
                <c:pt idx="114">
                  <c:v>0.9715730443429591</c:v>
                </c:pt>
                <c:pt idx="115">
                  <c:v>0.96667874081725502</c:v>
                </c:pt>
                <c:pt idx="116">
                  <c:v>0.97233754536609929</c:v>
                </c:pt>
                <c:pt idx="117">
                  <c:v>1.002969106630305</c:v>
                </c:pt>
                <c:pt idx="118">
                  <c:v>1.017768797430201</c:v>
                </c:pt>
                <c:pt idx="119">
                  <c:v>1.0197472402399361</c:v>
                </c:pt>
                <c:pt idx="120">
                  <c:v>1.0564589792256074</c:v>
                </c:pt>
                <c:pt idx="121">
                  <c:v>1.0378059196063198</c:v>
                </c:pt>
                <c:pt idx="122">
                  <c:v>1.0364869276674333</c:v>
                </c:pt>
                <c:pt idx="123">
                  <c:v>1.0791029480269558</c:v>
                </c:pt>
                <c:pt idx="124">
                  <c:v>1.095421170606</c:v>
                </c:pt>
                <c:pt idx="125">
                  <c:v>1.0183410675426698</c:v>
                </c:pt>
                <c:pt idx="126">
                  <c:v>1.0398330955136581</c:v>
                </c:pt>
                <c:pt idx="127">
                  <c:v>1.0401037536194522</c:v>
                </c:pt>
                <c:pt idx="128">
                  <c:v>1.0520865876867251</c:v>
                </c:pt>
                <c:pt idx="129">
                  <c:v>1.0396793107851212</c:v>
                </c:pt>
                <c:pt idx="130">
                  <c:v>1.0496114126923124</c:v>
                </c:pt>
                <c:pt idx="131">
                  <c:v>1.0694621697323277</c:v>
                </c:pt>
                <c:pt idx="132">
                  <c:v>1.0580189366514103</c:v>
                </c:pt>
                <c:pt idx="133">
                  <c:v>1.0593157267740303</c:v>
                </c:pt>
                <c:pt idx="134">
                  <c:v>1.0425227919535547</c:v>
                </c:pt>
                <c:pt idx="135">
                  <c:v>1.0380528410649925</c:v>
                </c:pt>
                <c:pt idx="136">
                  <c:v>1.0424739671801202</c:v>
                </c:pt>
                <c:pt idx="137">
                  <c:v>1.0522300840211507</c:v>
                </c:pt>
                <c:pt idx="138">
                  <c:v>1.1004027450872729</c:v>
                </c:pt>
                <c:pt idx="139">
                  <c:v>1.0956400259524814</c:v>
                </c:pt>
                <c:pt idx="140">
                  <c:v>1.1113255122936763</c:v>
                </c:pt>
                <c:pt idx="141">
                  <c:v>1.1113713590812326</c:v>
                </c:pt>
                <c:pt idx="142">
                  <c:v>1.0809260712772992</c:v>
                </c:pt>
                <c:pt idx="143">
                  <c:v>1.0930834472557096</c:v>
                </c:pt>
                <c:pt idx="144">
                  <c:v>1.1109735406827119</c:v>
                </c:pt>
                <c:pt idx="145">
                  <c:v>1.1009882815797309</c:v>
                </c:pt>
                <c:pt idx="146">
                  <c:v>1.0946227362174583</c:v>
                </c:pt>
                <c:pt idx="147">
                  <c:v>1.0966336692375716</c:v>
                </c:pt>
                <c:pt idx="148">
                  <c:v>1.0873670643701743</c:v>
                </c:pt>
                <c:pt idx="149">
                  <c:v>1.0824179800992793</c:v>
                </c:pt>
                <c:pt idx="150">
                  <c:v>1.0880043134247563</c:v>
                </c:pt>
                <c:pt idx="151">
                  <c:v>1.0876953008126593</c:v>
                </c:pt>
                <c:pt idx="152">
                  <c:v>1.1026103301589578</c:v>
                </c:pt>
                <c:pt idx="153">
                  <c:v>1.1189981361726797</c:v>
                </c:pt>
                <c:pt idx="154">
                  <c:v>1.1503009715327004</c:v>
                </c:pt>
                <c:pt idx="155">
                  <c:v>1.1402625552339301</c:v>
                </c:pt>
                <c:pt idx="156">
                  <c:v>1.1442799971759698</c:v>
                </c:pt>
                <c:pt idx="157">
                  <c:v>1.121846038482015</c:v>
                </c:pt>
                <c:pt idx="158">
                  <c:v>1.1300140401092196</c:v>
                </c:pt>
                <c:pt idx="159">
                  <c:v>1.1357926043453677</c:v>
                </c:pt>
                <c:pt idx="160">
                  <c:v>1.1397523777535272</c:v>
                </c:pt>
                <c:pt idx="161">
                  <c:v>1.142686016187576</c:v>
                </c:pt>
                <c:pt idx="162">
                  <c:v>1.1454304031754745</c:v>
                </c:pt>
                <c:pt idx="163">
                  <c:v>1.1381569521314678</c:v>
                </c:pt>
                <c:pt idx="164">
                  <c:v>1.153469709679098</c:v>
                </c:pt>
                <c:pt idx="165">
                  <c:v>1.1541632743097257</c:v>
                </c:pt>
                <c:pt idx="166">
                  <c:v>1.1555310008248576</c:v>
                </c:pt>
                <c:pt idx="167">
                  <c:v>1.1505139596259712</c:v>
                </c:pt>
                <c:pt idx="168">
                  <c:v>1.1605967765999896</c:v>
                </c:pt>
                <c:pt idx="169">
                  <c:v>1.169353292705531</c:v>
                </c:pt>
                <c:pt idx="170">
                  <c:v>1.1689112525474978</c:v>
                </c:pt>
                <c:pt idx="171">
                  <c:v>1.1721405484951077</c:v>
                </c:pt>
                <c:pt idx="172">
                  <c:v>1.1842092103629263</c:v>
                </c:pt>
                <c:pt idx="173">
                  <c:v>1.2336033040182548</c:v>
                </c:pt>
                <c:pt idx="174">
                  <c:v>1.2783455042684615</c:v>
                </c:pt>
                <c:pt idx="175">
                  <c:v>1.363284686544088</c:v>
                </c:pt>
                <c:pt idx="176">
                  <c:v>1.3290363880464098</c:v>
                </c:pt>
                <c:pt idx="177">
                  <c:v>1.3251341944535837</c:v>
                </c:pt>
                <c:pt idx="178">
                  <c:v>1.3420306445954957</c:v>
                </c:pt>
                <c:pt idx="179">
                  <c:v>1.3798661666235041</c:v>
                </c:pt>
                <c:pt idx="180">
                  <c:v>1.4430382416814469</c:v>
                </c:pt>
                <c:pt idx="181">
                  <c:v>1.4394539946583522</c:v>
                </c:pt>
                <c:pt idx="182">
                  <c:v>1.4213272681667883</c:v>
                </c:pt>
                <c:pt idx="183">
                  <c:v>1.4250312748771869</c:v>
                </c:pt>
                <c:pt idx="184">
                  <c:v>1.4761657336440233</c:v>
                </c:pt>
                <c:pt idx="185">
                  <c:v>1.5108029151039448</c:v>
                </c:pt>
                <c:pt idx="186">
                  <c:v>1.5434660763736752</c:v>
                </c:pt>
                <c:pt idx="187">
                  <c:v>1.7074327574670123</c:v>
                </c:pt>
                <c:pt idx="188">
                  <c:v>1.4984266852576951</c:v>
                </c:pt>
                <c:pt idx="189">
                  <c:v>1.3340326735413379</c:v>
                </c:pt>
                <c:pt idx="190">
                  <c:v>1.3434723756862066</c:v>
                </c:pt>
                <c:pt idx="191">
                  <c:v>1.3473374775333755</c:v>
                </c:pt>
                <c:pt idx="192">
                  <c:v>1.3349598030534602</c:v>
                </c:pt>
                <c:pt idx="193">
                  <c:v>1.3421327167619088</c:v>
                </c:pt>
                <c:pt idx="194">
                  <c:v>1.1500245378495271</c:v>
                </c:pt>
                <c:pt idx="195">
                  <c:v>1.1900616874988224</c:v>
                </c:pt>
                <c:pt idx="196">
                  <c:v>1.2183777272290044</c:v>
                </c:pt>
                <c:pt idx="197">
                  <c:v>1.2101386990120988</c:v>
                </c:pt>
                <c:pt idx="198">
                  <c:v>1.2151453630983273</c:v>
                </c:pt>
                <c:pt idx="199">
                  <c:v>1.2295414599223244</c:v>
                </c:pt>
                <c:pt idx="200">
                  <c:v>1.342515643752396</c:v>
                </c:pt>
                <c:pt idx="201">
                  <c:v>1.3109909765386583</c:v>
                </c:pt>
                <c:pt idx="202">
                  <c:v>1.3294074932905735</c:v>
                </c:pt>
                <c:pt idx="203">
                  <c:v>1.3234234317637645</c:v>
                </c:pt>
                <c:pt idx="204">
                  <c:v>1.3629963394387605</c:v>
                </c:pt>
                <c:pt idx="205">
                  <c:v>1.3672607043181157</c:v>
                </c:pt>
                <c:pt idx="206">
                  <c:v>1.3618474682701101</c:v>
                </c:pt>
                <c:pt idx="207">
                  <c:v>1.3199649033570156</c:v>
                </c:pt>
                <c:pt idx="208">
                  <c:v>1.3330582526079942</c:v>
                </c:pt>
                <c:pt idx="209">
                  <c:v>1.356781602297789</c:v>
                </c:pt>
                <c:pt idx="210">
                  <c:v>1.3599813860208994</c:v>
                </c:pt>
                <c:pt idx="211">
                  <c:v>1.362702128037508</c:v>
                </c:pt>
                <c:pt idx="212">
                  <c:v>1.3596057694386454</c:v>
                </c:pt>
                <c:pt idx="213">
                  <c:v>1.3609159161384439</c:v>
                </c:pt>
                <c:pt idx="214">
                  <c:v>1.4348790838146883</c:v>
                </c:pt>
                <c:pt idx="215">
                  <c:v>1.4624113986913421</c:v>
                </c:pt>
                <c:pt idx="216">
                  <c:v>1.4960904050624295</c:v>
                </c:pt>
                <c:pt idx="217">
                  <c:v>1.5228686877044326</c:v>
                </c:pt>
                <c:pt idx="218">
                  <c:v>1.5420762382394668</c:v>
                </c:pt>
                <c:pt idx="219">
                  <c:v>1.5190684760808306</c:v>
                </c:pt>
                <c:pt idx="220">
                  <c:v>1.5350526866400112</c:v>
                </c:pt>
                <c:pt idx="221">
                  <c:v>1.5693571203193568</c:v>
                </c:pt>
                <c:pt idx="222">
                  <c:v>1.5719003409603078</c:v>
                </c:pt>
                <c:pt idx="223">
                  <c:v>1.4703369014794183</c:v>
                </c:pt>
                <c:pt idx="224">
                  <c:v>1.4618953539577302</c:v>
                </c:pt>
                <c:pt idx="225">
                  <c:v>1.4852224186012173</c:v>
                </c:pt>
                <c:pt idx="226">
                  <c:v>1.4774314781899325</c:v>
                </c:pt>
                <c:pt idx="227">
                  <c:v>1.4648053488991319</c:v>
                </c:pt>
                <c:pt idx="228">
                  <c:v>1.4853702473579979</c:v>
                </c:pt>
                <c:pt idx="229">
                  <c:v>1.489702657883891</c:v>
                </c:pt>
                <c:pt idx="230">
                  <c:v>1.5192163033589694</c:v>
                </c:pt>
                <c:pt idx="231">
                  <c:v>1.5469704515679825</c:v>
                </c:pt>
                <c:pt idx="232">
                  <c:v>1.5591102287440486</c:v>
                </c:pt>
                <c:pt idx="233">
                  <c:v>1.5494250482955303</c:v>
                </c:pt>
                <c:pt idx="234">
                  <c:v>1.5969042349282134</c:v>
                </c:pt>
                <c:pt idx="235">
                  <c:v>1.6491299880056514</c:v>
                </c:pt>
                <c:pt idx="236">
                  <c:v>1.6522941231381281</c:v>
                </c:pt>
                <c:pt idx="237">
                  <c:v>1.7251616670387004</c:v>
                </c:pt>
                <c:pt idx="238">
                  <c:v>1.7354531411622782</c:v>
                </c:pt>
                <c:pt idx="239">
                  <c:v>1.6913303205727424</c:v>
                </c:pt>
                <c:pt idx="240">
                  <c:v>1.7229141009540263</c:v>
                </c:pt>
                <c:pt idx="241">
                  <c:v>1.7447536793950769</c:v>
                </c:pt>
                <c:pt idx="242">
                  <c:v>1.7447536793950769</c:v>
                </c:pt>
                <c:pt idx="243">
                  <c:v>1.8076403853335701</c:v>
                </c:pt>
                <c:pt idx="244">
                  <c:v>1.8497964961411479</c:v>
                </c:pt>
                <c:pt idx="245">
                  <c:v>1.8852543123272349</c:v>
                </c:pt>
                <c:pt idx="246">
                  <c:v>1.8559180965519835</c:v>
                </c:pt>
                <c:pt idx="247">
                  <c:v>1.8736174037019806</c:v>
                </c:pt>
                <c:pt idx="248">
                  <c:v>1.882060394378692</c:v>
                </c:pt>
                <c:pt idx="249">
                  <c:v>1.8091782311402955</c:v>
                </c:pt>
                <c:pt idx="250">
                  <c:v>1.7004388082892479</c:v>
                </c:pt>
                <c:pt idx="251">
                  <c:v>1.7573517410950434</c:v>
                </c:pt>
                <c:pt idx="252">
                  <c:v>1.6512295449391681</c:v>
                </c:pt>
                <c:pt idx="253">
                  <c:v>1.7386320775055988</c:v>
                </c:pt>
                <c:pt idx="254">
                  <c:v>1.8059843131917526</c:v>
                </c:pt>
                <c:pt idx="255">
                  <c:v>1.8215692621973891</c:v>
                </c:pt>
                <c:pt idx="256">
                  <c:v>1.8335166280684063</c:v>
                </c:pt>
                <c:pt idx="257">
                  <c:v>1.8477263597563001</c:v>
                </c:pt>
                <c:pt idx="258">
                  <c:v>1.7563463662608185</c:v>
                </c:pt>
                <c:pt idx="259">
                  <c:v>1.6268467443785246</c:v>
                </c:pt>
                <c:pt idx="260">
                  <c:v>1.4399286152239543</c:v>
                </c:pt>
                <c:pt idx="261">
                  <c:v>1.5329677505229629</c:v>
                </c:pt>
                <c:pt idx="262">
                  <c:v>1.558829192046955</c:v>
                </c:pt>
                <c:pt idx="263">
                  <c:v>1.6568780596152592</c:v>
                </c:pt>
                <c:pt idx="264">
                  <c:v>1.5513029537697081</c:v>
                </c:pt>
                <c:pt idx="265">
                  <c:v>1.5357032035532272</c:v>
                </c:pt>
                <c:pt idx="266">
                  <c:v>1.3862568917879241</c:v>
                </c:pt>
                <c:pt idx="267">
                  <c:v>1.438392304248084</c:v>
                </c:pt>
                <c:pt idx="268">
                  <c:v>1.4294405792459934</c:v>
                </c:pt>
                <c:pt idx="269">
                  <c:v>1.5463199361334119</c:v>
                </c:pt>
                <c:pt idx="270">
                  <c:v>1.5483604686179289</c:v>
                </c:pt>
                <c:pt idx="271">
                  <c:v>1.5377437375163865</c:v>
                </c:pt>
                <c:pt idx="272">
                  <c:v>1.5177230415791556</c:v>
                </c:pt>
                <c:pt idx="273">
                  <c:v>1.5847942405682149</c:v>
                </c:pt>
                <c:pt idx="274">
                  <c:v>1.5976731585708983</c:v>
                </c:pt>
                <c:pt idx="275">
                  <c:v>1.6297154053491032</c:v>
                </c:pt>
                <c:pt idx="276">
                  <c:v>1.6912860988132306</c:v>
                </c:pt>
                <c:pt idx="277">
                  <c:v>1.6756715473859054</c:v>
                </c:pt>
                <c:pt idx="278">
                  <c:v>1.6631474887828754</c:v>
                </c:pt>
                <c:pt idx="279">
                  <c:v>1.7487609231401953</c:v>
                </c:pt>
                <c:pt idx="280">
                  <c:v>1.7402143254662163</c:v>
                </c:pt>
                <c:pt idx="281">
                  <c:v>1.7388095072054268</c:v>
                </c:pt>
                <c:pt idx="282">
                  <c:v>1.7564349901742229</c:v>
                </c:pt>
                <c:pt idx="283">
                  <c:v>1.7553408095535743</c:v>
                </c:pt>
                <c:pt idx="284">
                  <c:v>1.7817789438095792</c:v>
                </c:pt>
                <c:pt idx="285">
                  <c:v>1.7749180206991062</c:v>
                </c:pt>
                <c:pt idx="286">
                  <c:v>1.7289470774514599</c:v>
                </c:pt>
                <c:pt idx="287">
                  <c:v>1.7263742543888205</c:v>
                </c:pt>
                <c:pt idx="288">
                  <c:v>1.7337378656557276</c:v>
                </c:pt>
                <c:pt idx="289">
                  <c:v>1.7491452030885173</c:v>
                </c:pt>
                <c:pt idx="290">
                  <c:v>1.7653660481909019</c:v>
                </c:pt>
                <c:pt idx="291">
                  <c:v>1.7916267527470802</c:v>
                </c:pt>
                <c:pt idx="292">
                  <c:v>1.7895862187839209</c:v>
                </c:pt>
                <c:pt idx="293">
                  <c:v>1.8173697875416028</c:v>
                </c:pt>
                <c:pt idx="294">
                  <c:v>1.8069750686881554</c:v>
                </c:pt>
                <c:pt idx="295">
                  <c:v>1.8212586245572504</c:v>
                </c:pt>
                <c:pt idx="296">
                  <c:v>1.7850318847284794</c:v>
                </c:pt>
                <c:pt idx="297">
                  <c:v>1.8485248843420319</c:v>
                </c:pt>
                <c:pt idx="298">
                  <c:v>1.8712072091283256</c:v>
                </c:pt>
                <c:pt idx="299">
                  <c:v>1.894259194525117</c:v>
                </c:pt>
                <c:pt idx="300">
                  <c:v>1.948451475511493</c:v>
                </c:pt>
                <c:pt idx="301">
                  <c:v>1.9466031724590047</c:v>
                </c:pt>
                <c:pt idx="302">
                  <c:v>1.9544548510658792</c:v>
                </c:pt>
                <c:pt idx="303">
                  <c:v>1.9930473833144167</c:v>
                </c:pt>
                <c:pt idx="304">
                  <c:v>2.1020380600464925</c:v>
                </c:pt>
                <c:pt idx="305">
                  <c:v>2.1482012327261675</c:v>
                </c:pt>
                <c:pt idx="306">
                  <c:v>2.2033102661120076</c:v>
                </c:pt>
                <c:pt idx="307">
                  <c:v>2.2736641888360332</c:v>
                </c:pt>
                <c:pt idx="308">
                  <c:v>2.29995431394088</c:v>
                </c:pt>
                <c:pt idx="309">
                  <c:v>2.3344807598683208</c:v>
                </c:pt>
                <c:pt idx="310">
                  <c:v>2.3609631158838389</c:v>
                </c:pt>
                <c:pt idx="311">
                  <c:v>2.5482184169171718</c:v>
                </c:pt>
                <c:pt idx="312">
                  <c:v>2.5955497747930747</c:v>
                </c:pt>
                <c:pt idx="313">
                  <c:v>2.6425262747479668</c:v>
                </c:pt>
                <c:pt idx="314">
                  <c:v>2.7333739791439684</c:v>
                </c:pt>
                <c:pt idx="315">
                  <c:v>2.5495344293915383</c:v>
                </c:pt>
                <c:pt idx="316">
                  <c:v>2.6688165802471917</c:v>
                </c:pt>
                <c:pt idx="317">
                  <c:v>2.6747311500151545</c:v>
                </c:pt>
                <c:pt idx="318">
                  <c:v>2.5705164602765018</c:v>
                </c:pt>
                <c:pt idx="319">
                  <c:v>2.5646313110572074</c:v>
                </c:pt>
                <c:pt idx="320">
                  <c:v>2.7193564783667457</c:v>
                </c:pt>
                <c:pt idx="321">
                  <c:v>2.7926380835530642</c:v>
                </c:pt>
                <c:pt idx="322">
                  <c:v>2.9391123107021841</c:v>
                </c:pt>
                <c:pt idx="323">
                  <c:v>3.0825702285183234</c:v>
                </c:pt>
                <c:pt idx="324">
                  <c:v>3.0182048801378394</c:v>
                </c:pt>
                <c:pt idx="325">
                  <c:v>3.2136813385155238</c:v>
                </c:pt>
                <c:pt idx="326">
                  <c:v>3.4310713799098385</c:v>
                </c:pt>
                <c:pt idx="327">
                  <c:v>3.6132696587312956</c:v>
                </c:pt>
                <c:pt idx="328">
                  <c:v>3.4082412263667643</c:v>
                </c:pt>
                <c:pt idx="329">
                  <c:v>3.2565915717549414</c:v>
                </c:pt>
                <c:pt idx="330">
                  <c:v>3.0147597083082687</c:v>
                </c:pt>
                <c:pt idx="331">
                  <c:v>3.1876574488969278</c:v>
                </c:pt>
                <c:pt idx="332">
                  <c:v>3.3352408367932767</c:v>
                </c:pt>
                <c:pt idx="333">
                  <c:v>3.2167422303967736</c:v>
                </c:pt>
                <c:pt idx="334">
                  <c:v>3.3807827356713123</c:v>
                </c:pt>
                <c:pt idx="335">
                  <c:v>3.5603933902192857</c:v>
                </c:pt>
                <c:pt idx="336">
                  <c:v>3.6796757214693168</c:v>
                </c:pt>
                <c:pt idx="337">
                  <c:v>3.7193034113681458</c:v>
                </c:pt>
                <c:pt idx="338">
                  <c:v>3.7140689594564438</c:v>
                </c:pt>
                <c:pt idx="339">
                  <c:v>3.972831386804808</c:v>
                </c:pt>
                <c:pt idx="340">
                  <c:v>4.2336489674541555</c:v>
                </c:pt>
                <c:pt idx="341">
                  <c:v>4.0398876041886451</c:v>
                </c:pt>
                <c:pt idx="342">
                  <c:v>4.1485089810989795</c:v>
                </c:pt>
                <c:pt idx="343">
                  <c:v>4.1754054013575281</c:v>
                </c:pt>
                <c:pt idx="344">
                  <c:v>4.3586090550132113</c:v>
                </c:pt>
                <c:pt idx="345">
                  <c:v>4.3739871522917104</c:v>
                </c:pt>
                <c:pt idx="346">
                  <c:v>3.9326416249904335</c:v>
                </c:pt>
                <c:pt idx="347">
                  <c:v>4.0175011173102915</c:v>
                </c:pt>
                <c:pt idx="348">
                  <c:v>3.7060252303332777</c:v>
                </c:pt>
                <c:pt idx="349">
                  <c:v>3.6442327050154333</c:v>
                </c:pt>
                <c:pt idx="350">
                  <c:v>3.7240497959398819</c:v>
                </c:pt>
                <c:pt idx="351">
                  <c:v>3.9270967158329686</c:v>
                </c:pt>
                <c:pt idx="352">
                  <c:v>3.7680098061674152</c:v>
                </c:pt>
                <c:pt idx="353">
                  <c:v>3.8290926126859532</c:v>
                </c:pt>
                <c:pt idx="354">
                  <c:v>4.0245542698527936</c:v>
                </c:pt>
                <c:pt idx="355">
                  <c:v>3.976217535664023</c:v>
                </c:pt>
                <c:pt idx="356">
                  <c:v>4.0003339188653975</c:v>
                </c:pt>
                <c:pt idx="357">
                  <c:v>4.0587402953240286</c:v>
                </c:pt>
                <c:pt idx="358">
                  <c:v>3.8573640683892254</c:v>
                </c:pt>
                <c:pt idx="359">
                  <c:v>3.8288113955944816</c:v>
                </c:pt>
                <c:pt idx="360">
                  <c:v>3.6647412878982544</c:v>
                </c:pt>
                <c:pt idx="361">
                  <c:v>3.774160828605563</c:v>
                </c:pt>
                <c:pt idx="362">
                  <c:v>3.8071938308801689</c:v>
                </c:pt>
                <c:pt idx="363">
                  <c:v>3.7547464263433912</c:v>
                </c:pt>
                <c:pt idx="364">
                  <c:v>3.6682754459086269</c:v>
                </c:pt>
                <c:pt idx="365">
                  <c:v>3.5998290296018243</c:v>
                </c:pt>
                <c:pt idx="366">
                  <c:v>3.706172878695682</c:v>
                </c:pt>
                <c:pt idx="367">
                  <c:v>3.7913280270504583</c:v>
                </c:pt>
                <c:pt idx="368">
                  <c:v>3.8468951645658223</c:v>
                </c:pt>
                <c:pt idx="369">
                  <c:v>3.847412832848836</c:v>
                </c:pt>
                <c:pt idx="370">
                  <c:v>3.8571276157190426</c:v>
                </c:pt>
                <c:pt idx="371">
                  <c:v>3.7241974428236442</c:v>
                </c:pt>
                <c:pt idx="372">
                  <c:v>3.8020925869087812</c:v>
                </c:pt>
                <c:pt idx="373">
                  <c:v>3.7238721843670368</c:v>
                </c:pt>
                <c:pt idx="374">
                  <c:v>3.5081679994092481</c:v>
                </c:pt>
                <c:pt idx="375">
                  <c:v>3.4567555721283845</c:v>
                </c:pt>
                <c:pt idx="376">
                  <c:v>3.5470267656653935</c:v>
                </c:pt>
                <c:pt idx="377">
                  <c:v>3.4864908690628025</c:v>
                </c:pt>
                <c:pt idx="378">
                  <c:v>3.3023114415159407</c:v>
                </c:pt>
                <c:pt idx="379">
                  <c:v>2.9555992094178007</c:v>
                </c:pt>
                <c:pt idx="380">
                  <c:v>2.8535136775557106</c:v>
                </c:pt>
                <c:pt idx="381">
                  <c:v>3.2950214740358565</c:v>
                </c:pt>
                <c:pt idx="382">
                  <c:v>3.4287942128821198</c:v>
                </c:pt>
                <c:pt idx="383">
                  <c:v>3.3615899863471244</c:v>
                </c:pt>
                <c:pt idx="384">
                  <c:v>4.1662230894598231</c:v>
                </c:pt>
                <c:pt idx="385">
                  <c:v>3.9446631758314088</c:v>
                </c:pt>
                <c:pt idx="386">
                  <c:v>4.1551628720879394</c:v>
                </c:pt>
                <c:pt idx="387">
                  <c:v>4.0372851787043196</c:v>
                </c:pt>
                <c:pt idx="388">
                  <c:v>4.0734530759571115</c:v>
                </c:pt>
                <c:pt idx="389">
                  <c:v>3.8096926493672285</c:v>
                </c:pt>
                <c:pt idx="390">
                  <c:v>3.7401520524397776</c:v>
                </c:pt>
                <c:pt idx="391">
                  <c:v>3.9506073465424172</c:v>
                </c:pt>
                <c:pt idx="392">
                  <c:v>4.1535214207625879</c:v>
                </c:pt>
                <c:pt idx="393">
                  <c:v>4.0314446135119359</c:v>
                </c:pt>
                <c:pt idx="394">
                  <c:v>4.0768832676601017</c:v>
                </c:pt>
                <c:pt idx="395">
                  <c:v>4.2515998892739377</c:v>
                </c:pt>
                <c:pt idx="396">
                  <c:v>4.0193346191519357</c:v>
                </c:pt>
                <c:pt idx="397">
                  <c:v>4.0081115928966922</c:v>
                </c:pt>
                <c:pt idx="398">
                  <c:v>4.147192786751595</c:v>
                </c:pt>
                <c:pt idx="399">
                  <c:v>4.2819857031215696</c:v>
                </c:pt>
                <c:pt idx="400">
                  <c:v>4.8098906558552788</c:v>
                </c:pt>
                <c:pt idx="401">
                  <c:v>4.7522680027715341</c:v>
                </c:pt>
                <c:pt idx="402">
                  <c:v>4.9962440056999915</c:v>
                </c:pt>
                <c:pt idx="403">
                  <c:v>5.0568683458216084</c:v>
                </c:pt>
                <c:pt idx="404">
                  <c:v>4.9423179601998655</c:v>
                </c:pt>
                <c:pt idx="405">
                  <c:v>4.9997041591347839</c:v>
                </c:pt>
                <c:pt idx="406">
                  <c:v>5.3979618445810811</c:v>
                </c:pt>
                <c:pt idx="407">
                  <c:v>5.7440970231584521</c:v>
                </c:pt>
                <c:pt idx="408">
                  <c:v>6.0228951280492691</c:v>
                </c:pt>
                <c:pt idx="409">
                  <c:v>6.3953206121258637</c:v>
                </c:pt>
                <c:pt idx="410">
                  <c:v>6.1835794476750374</c:v>
                </c:pt>
                <c:pt idx="411">
                  <c:v>6.4714706978883818</c:v>
                </c:pt>
                <c:pt idx="412">
                  <c:v>6.4050205923065837</c:v>
                </c:pt>
                <c:pt idx="413">
                  <c:v>6.1520694899963138</c:v>
                </c:pt>
                <c:pt idx="414">
                  <c:v>6.2009830973114752</c:v>
                </c:pt>
                <c:pt idx="415">
                  <c:v>6.0441874343069744</c:v>
                </c:pt>
                <c:pt idx="416">
                  <c:v>5.9171425910252475</c:v>
                </c:pt>
                <c:pt idx="417">
                  <c:v>6.0632029358043562</c:v>
                </c:pt>
                <c:pt idx="418">
                  <c:v>6.1386137003458803</c:v>
                </c:pt>
                <c:pt idx="419">
                  <c:v>6.4094420806891081</c:v>
                </c:pt>
                <c:pt idx="420">
                  <c:v>6.4640334443132934</c:v>
                </c:pt>
                <c:pt idx="421">
                  <c:v>6.435643219613155</c:v>
                </c:pt>
                <c:pt idx="422">
                  <c:v>6.4807122131508228</c:v>
                </c:pt>
                <c:pt idx="423">
                  <c:v>6.4803873154829716</c:v>
                </c:pt>
                <c:pt idx="424">
                  <c:v>6.7707333442968842</c:v>
                </c:pt>
                <c:pt idx="425">
                  <c:v>6.750446052084647</c:v>
                </c:pt>
                <c:pt idx="426">
                  <c:v>6.9546322778084271</c:v>
                </c:pt>
                <c:pt idx="427">
                  <c:v>7.2335332666403573</c:v>
                </c:pt>
                <c:pt idx="428">
                  <c:v>6.7703636836863854</c:v>
                </c:pt>
                <c:pt idx="429">
                  <c:v>6.7765591082784207</c:v>
                </c:pt>
                <c:pt idx="430">
                  <c:v>6.2639878506693218</c:v>
                </c:pt>
                <c:pt idx="431">
                  <c:v>6.4713226887372217</c:v>
                </c:pt>
                <c:pt idx="432">
                  <c:v>6.7974969159252314</c:v>
                </c:pt>
                <c:pt idx="433">
                  <c:v>6.8015776230627925</c:v>
                </c:pt>
                <c:pt idx="434">
                  <c:v>6.252809226567968</c:v>
                </c:pt>
                <c:pt idx="435">
                  <c:v>6.2488317656389176</c:v>
                </c:pt>
                <c:pt idx="436">
                  <c:v>6.0963539825410331</c:v>
                </c:pt>
                <c:pt idx="437">
                  <c:v>6.1530304641552878</c:v>
                </c:pt>
                <c:pt idx="438">
                  <c:v>6.107991073039309</c:v>
                </c:pt>
                <c:pt idx="439">
                  <c:v>5.7409624889690196</c:v>
                </c:pt>
                <c:pt idx="440">
                  <c:v>4.6650428999049272</c:v>
                </c:pt>
                <c:pt idx="441">
                  <c:v>5.3785914851626844</c:v>
                </c:pt>
                <c:pt idx="442">
                  <c:v>5.3601380555808475</c:v>
                </c:pt>
                <c:pt idx="443">
                  <c:v>5.2977982595583013</c:v>
                </c:pt>
                <c:pt idx="444">
                  <c:v>6.0109771827269176</c:v>
                </c:pt>
                <c:pt idx="445">
                  <c:v>5.803627182659417</c:v>
                </c:pt>
                <c:pt idx="446">
                  <c:v>5.7755033738399062</c:v>
                </c:pt>
                <c:pt idx="447">
                  <c:v>5.3690099102327906</c:v>
                </c:pt>
                <c:pt idx="448">
                  <c:v>5.3685070416819789</c:v>
                </c:pt>
                <c:pt idx="449">
                  <c:v>5.6076034520983882</c:v>
                </c:pt>
                <c:pt idx="450">
                  <c:v>5.4456036611813863</c:v>
                </c:pt>
                <c:pt idx="451">
                  <c:v>5.8052538327739232</c:v>
                </c:pt>
                <c:pt idx="452">
                  <c:v>5.7553940539892716</c:v>
                </c:pt>
                <c:pt idx="453">
                  <c:v>6.2112888314627597</c:v>
                </c:pt>
                <c:pt idx="454">
                  <c:v>6.1729329322787834</c:v>
                </c:pt>
                <c:pt idx="455">
                  <c:v>6.1556917307369519</c:v>
                </c:pt>
                <c:pt idx="456">
                  <c:v>6.4154006918222031</c:v>
                </c:pt>
                <c:pt idx="457">
                  <c:v>6.5115572134942425</c:v>
                </c:pt>
                <c:pt idx="458">
                  <c:v>6.5198074320771502</c:v>
                </c:pt>
                <c:pt idx="459">
                  <c:v>6.3840091408729496</c:v>
                </c:pt>
                <c:pt idx="460">
                  <c:v>6.2537109958835675</c:v>
                </c:pt>
                <c:pt idx="461">
                  <c:v>6.4001709630049781</c:v>
                </c:pt>
                <c:pt idx="462">
                  <c:v>6.4628652591170654</c:v>
                </c:pt>
                <c:pt idx="463">
                  <c:v>6.545787642598011</c:v>
                </c:pt>
                <c:pt idx="464">
                  <c:v>6.8172513763762108</c:v>
                </c:pt>
                <c:pt idx="465">
                  <c:v>7.0561113356010781</c:v>
                </c:pt>
                <c:pt idx="466">
                  <c:v>7.070853717177207</c:v>
                </c:pt>
                <c:pt idx="467">
                  <c:v>7.1366381438461914</c:v>
                </c:pt>
                <c:pt idx="468">
                  <c:v>8.0540325343715207</c:v>
                </c:pt>
                <c:pt idx="469">
                  <c:v>8.3502043271669724</c:v>
                </c:pt>
                <c:pt idx="470">
                  <c:v>8.6231322644437185</c:v>
                </c:pt>
                <c:pt idx="471">
                  <c:v>8.3960126404469939</c:v>
                </c:pt>
                <c:pt idx="472">
                  <c:v>8.4661001487690353</c:v>
                </c:pt>
                <c:pt idx="473">
                  <c:v>8.2885446490006878</c:v>
                </c:pt>
                <c:pt idx="474">
                  <c:v>8.2666314267728129</c:v>
                </c:pt>
                <c:pt idx="475">
                  <c:v>8.4408599825253248</c:v>
                </c:pt>
                <c:pt idx="476">
                  <c:v>8.8887853962399817</c:v>
                </c:pt>
                <c:pt idx="477">
                  <c:v>8.9185798980177751</c:v>
                </c:pt>
                <c:pt idx="478">
                  <c:v>8.8843047059713616</c:v>
                </c:pt>
                <c:pt idx="479">
                  <c:v>8.7688225863449318</c:v>
                </c:pt>
                <c:pt idx="480">
                  <c:v>8.1719246681772297</c:v>
                </c:pt>
                <c:pt idx="481">
                  <c:v>8.503376667064563</c:v>
                </c:pt>
                <c:pt idx="482">
                  <c:v>8.731132366073771</c:v>
                </c:pt>
                <c:pt idx="483">
                  <c:v>8.5478839479967998</c:v>
                </c:pt>
                <c:pt idx="484">
                  <c:v>8.5067628159237785</c:v>
                </c:pt>
                <c:pt idx="485">
                  <c:v>9.0993439365511311</c:v>
                </c:pt>
                <c:pt idx="486">
                  <c:v>9.0648615319888233</c:v>
                </c:pt>
                <c:pt idx="487">
                  <c:v>9.5644506268653711</c:v>
                </c:pt>
                <c:pt idx="488">
                  <c:v>10.00643187134766</c:v>
                </c:pt>
                <c:pt idx="489">
                  <c:v>10.466570525630827</c:v>
                </c:pt>
                <c:pt idx="490">
                  <c:v>10.657699501680208</c:v>
                </c:pt>
                <c:pt idx="491">
                  <c:v>10.912307578104187</c:v>
                </c:pt>
                <c:pt idx="492">
                  <c:v>10.952911041894195</c:v>
                </c:pt>
                <c:pt idx="493">
                  <c:v>10.384150649911939</c:v>
                </c:pt>
                <c:pt idx="494">
                  <c:v>10.563983316708008</c:v>
                </c:pt>
                <c:pt idx="495">
                  <c:v>11.030214150853341</c:v>
                </c:pt>
                <c:pt idx="496">
                  <c:v>10.562800691089691</c:v>
                </c:pt>
                <c:pt idx="497">
                  <c:v>9.7858628936100285</c:v>
                </c:pt>
                <c:pt idx="498">
                  <c:v>9.4006173341067285</c:v>
                </c:pt>
                <c:pt idx="499">
                  <c:v>8.7980257745742492</c:v>
                </c:pt>
                <c:pt idx="500">
                  <c:v>9.6991406578155939</c:v>
                </c:pt>
                <c:pt idx="501">
                  <c:v>9.8119015844394699</c:v>
                </c:pt>
                <c:pt idx="502">
                  <c:v>10.81706798774735</c:v>
                </c:pt>
                <c:pt idx="503">
                  <c:v>11.63941483695349</c:v>
                </c:pt>
                <c:pt idx="504">
                  <c:v>11.398840144883847</c:v>
                </c:pt>
                <c:pt idx="505">
                  <c:v>11.518846274566519</c:v>
                </c:pt>
                <c:pt idx="506">
                  <c:v>11.883095544635786</c:v>
                </c:pt>
                <c:pt idx="507">
                  <c:v>12.125813835004081</c:v>
                </c:pt>
                <c:pt idx="508">
                  <c:v>11.93450725033914</c:v>
                </c:pt>
                <c:pt idx="509">
                  <c:v>12.204049038756672</c:v>
                </c:pt>
                <c:pt idx="510">
                  <c:v>11.886466532974044</c:v>
                </c:pt>
                <c:pt idx="511">
                  <c:v>12.204256972850077</c:v>
                </c:pt>
                <c:pt idx="512">
                  <c:v>12.998627300810353</c:v>
                </c:pt>
                <c:pt idx="513">
                  <c:v>13.796546948780607</c:v>
                </c:pt>
                <c:pt idx="514">
                  <c:v>14.51782844216973</c:v>
                </c:pt>
                <c:pt idx="515">
                  <c:v>14.873368307160302</c:v>
                </c:pt>
                <c:pt idx="516">
                  <c:v>14.621718958775327</c:v>
                </c:pt>
                <c:pt idx="517">
                  <c:v>15.131834716206349</c:v>
                </c:pt>
                <c:pt idx="518">
                  <c:v>16.228987408163412</c:v>
                </c:pt>
                <c:pt idx="519">
                  <c:v>16.375373009920484</c:v>
                </c:pt>
                <c:pt idx="520">
                  <c:v>16.742964387483831</c:v>
                </c:pt>
                <c:pt idx="521">
                  <c:v>17.236830963108709</c:v>
                </c:pt>
                <c:pt idx="522">
                  <c:v>17.620538676805282</c:v>
                </c:pt>
                <c:pt idx="523">
                  <c:v>21.132018459709407</c:v>
                </c:pt>
                <c:pt idx="524">
                  <c:v>26.467254964080325</c:v>
                </c:pt>
                <c:pt idx="525">
                  <c:v>24.500218656469105</c:v>
                </c:pt>
                <c:pt idx="526">
                  <c:v>22.443131001357791</c:v>
                </c:pt>
                <c:pt idx="527">
                  <c:v>22.853010976091522</c:v>
                </c:pt>
                <c:pt idx="528">
                  <c:v>25.043472466327032</c:v>
                </c:pt>
                <c:pt idx="529">
                  <c:v>25.751150162393198</c:v>
                </c:pt>
                <c:pt idx="530">
                  <c:v>24.261859761851269</c:v>
                </c:pt>
                <c:pt idx="531">
                  <c:v>24.49223340913316</c:v>
                </c:pt>
                <c:pt idx="532">
                  <c:v>26.18217443423347</c:v>
                </c:pt>
                <c:pt idx="533">
                  <c:v>28.829683726617731</c:v>
                </c:pt>
                <c:pt idx="534">
                  <c:v>28.302400408474419</c:v>
                </c:pt>
                <c:pt idx="535">
                  <c:v>28.263066209877969</c:v>
                </c:pt>
                <c:pt idx="536">
                  <c:v>26.285381943715475</c:v>
                </c:pt>
                <c:pt idx="537">
                  <c:v>24.581838562968603</c:v>
                </c:pt>
                <c:pt idx="538">
                  <c:v>23.366839224683272</c:v>
                </c:pt>
                <c:pt idx="539">
                  <c:v>20.452286240791029</c:v>
                </c:pt>
                <c:pt idx="540">
                  <c:v>21.73486127164427</c:v>
                </c:pt>
                <c:pt idx="541">
                  <c:v>20.591278630338149</c:v>
                </c:pt>
                <c:pt idx="542">
                  <c:v>20.740325498676889</c:v>
                </c:pt>
                <c:pt idx="543">
                  <c:v>23.805847299225825</c:v>
                </c:pt>
                <c:pt idx="544">
                  <c:v>23.419478317468943</c:v>
                </c:pt>
                <c:pt idx="545">
                  <c:v>21.597790828936461</c:v>
                </c:pt>
                <c:pt idx="546">
                  <c:v>21.671279646638673</c:v>
                </c:pt>
                <c:pt idx="547">
                  <c:v>19.151672925486604</c:v>
                </c:pt>
                <c:pt idx="548">
                  <c:v>20.932254443945666</c:v>
                </c:pt>
                <c:pt idx="549">
                  <c:v>20.194115847090014</c:v>
                </c:pt>
                <c:pt idx="550">
                  <c:v>22.153168351998961</c:v>
                </c:pt>
                <c:pt idx="551">
                  <c:v>22.476843760699907</c:v>
                </c:pt>
                <c:pt idx="552">
                  <c:v>23.065639469435858</c:v>
                </c:pt>
                <c:pt idx="553">
                  <c:v>25.771998442676072</c:v>
                </c:pt>
                <c:pt idx="554">
                  <c:v>25.916166080770161</c:v>
                </c:pt>
                <c:pt idx="555">
                  <c:v>24.364478123995976</c:v>
                </c:pt>
                <c:pt idx="556">
                  <c:v>22.4311531310932</c:v>
                </c:pt>
                <c:pt idx="557">
                  <c:v>21.581378475979562</c:v>
                </c:pt>
                <c:pt idx="558">
                  <c:v>22.140156588323361</c:v>
                </c:pt>
                <c:pt idx="559">
                  <c:v>19.822384560503014</c:v>
                </c:pt>
                <c:pt idx="560">
                  <c:v>20.672307946345324</c:v>
                </c:pt>
                <c:pt idx="561">
                  <c:v>21.233601483809444</c:v>
                </c:pt>
                <c:pt idx="562">
                  <c:v>20.363863711095266</c:v>
                </c:pt>
                <c:pt idx="563">
                  <c:v>20.434542531487143</c:v>
                </c:pt>
                <c:pt idx="564">
                  <c:v>16.990340979693592</c:v>
                </c:pt>
                <c:pt idx="565">
                  <c:v>16.54393824830742</c:v>
                </c:pt>
                <c:pt idx="566">
                  <c:v>16.967274735747729</c:v>
                </c:pt>
                <c:pt idx="567">
                  <c:v>17.163194859311488</c:v>
                </c:pt>
                <c:pt idx="568">
                  <c:v>19.073304876061094</c:v>
                </c:pt>
                <c:pt idx="569">
                  <c:v>17.152399613186567</c:v>
                </c:pt>
                <c:pt idx="570">
                  <c:v>16.163632568525806</c:v>
                </c:pt>
                <c:pt idx="571">
                  <c:v>16.070478094680396</c:v>
                </c:pt>
                <c:pt idx="572">
                  <c:v>16.796491533697807</c:v>
                </c:pt>
                <c:pt idx="573">
                  <c:v>16.648627289498744</c:v>
                </c:pt>
                <c:pt idx="574">
                  <c:v>16.518506754603568</c:v>
                </c:pt>
                <c:pt idx="575">
                  <c:v>16.916704874417732</c:v>
                </c:pt>
                <c:pt idx="576">
                  <c:v>17.427723125699153</c:v>
                </c:pt>
                <c:pt idx="577">
                  <c:v>16.703337059852402</c:v>
                </c:pt>
                <c:pt idx="578">
                  <c:v>14.943603823154858</c:v>
                </c:pt>
                <c:pt idx="579">
                  <c:v>15.113351685681465</c:v>
                </c:pt>
                <c:pt idx="580">
                  <c:v>13.559949717640013</c:v>
                </c:pt>
                <c:pt idx="581">
                  <c:v>13.057521744608955</c:v>
                </c:pt>
                <c:pt idx="582">
                  <c:v>13.566411558112678</c:v>
                </c:pt>
                <c:pt idx="583">
                  <c:v>12.238737932778717</c:v>
                </c:pt>
                <c:pt idx="584">
                  <c:v>10.284357447077173</c:v>
                </c:pt>
                <c:pt idx="585">
                  <c:v>11.465393495195519</c:v>
                </c:pt>
                <c:pt idx="586">
                  <c:v>11.269177354808082</c:v>
                </c:pt>
                <c:pt idx="587">
                  <c:v>12.221851951425295</c:v>
                </c:pt>
                <c:pt idx="588">
                  <c:v>12.918870136306795</c:v>
                </c:pt>
                <c:pt idx="589">
                  <c:v>12.748707848748399</c:v>
                </c:pt>
                <c:pt idx="590">
                  <c:v>12.02131901201887</c:v>
                </c:pt>
                <c:pt idx="591">
                  <c:v>13.199205726215581</c:v>
                </c:pt>
                <c:pt idx="592">
                  <c:v>12.713825459576393</c:v>
                </c:pt>
                <c:pt idx="593">
                  <c:v>14.039162715996538</c:v>
                </c:pt>
                <c:pt idx="594">
                  <c:v>15.032471100402958</c:v>
                </c:pt>
                <c:pt idx="595">
                  <c:v>15.132279465237326</c:v>
                </c:pt>
                <c:pt idx="596">
                  <c:v>16.43171015344479</c:v>
                </c:pt>
                <c:pt idx="597">
                  <c:v>15.602339031061684</c:v>
                </c:pt>
                <c:pt idx="598">
                  <c:v>16.598204715742387</c:v>
                </c:pt>
                <c:pt idx="599">
                  <c:v>16.861995104064071</c:v>
                </c:pt>
                <c:pt idx="600">
                  <c:v>15.807279740006058</c:v>
                </c:pt>
                <c:pt idx="601">
                  <c:v>14.793817632116472</c:v>
                </c:pt>
                <c:pt idx="602">
                  <c:v>15.23164308104071</c:v>
                </c:pt>
                <c:pt idx="603">
                  <c:v>14.51002225104029</c:v>
                </c:pt>
                <c:pt idx="604">
                  <c:v>14.290680661863618</c:v>
                </c:pt>
                <c:pt idx="605">
                  <c:v>15.328642891719767</c:v>
                </c:pt>
                <c:pt idx="606">
                  <c:v>15.859326797665743</c:v>
                </c:pt>
                <c:pt idx="607">
                  <c:v>15.374776825723792</c:v>
                </c:pt>
                <c:pt idx="608">
                  <c:v>16.192613382239628</c:v>
                </c:pt>
                <c:pt idx="609">
                  <c:v>16.392822147034355</c:v>
                </c:pt>
                <c:pt idx="610">
                  <c:v>16.989158354075268</c:v>
                </c:pt>
                <c:pt idx="611">
                  <c:v>17.023018399512384</c:v>
                </c:pt>
                <c:pt idx="612">
                  <c:v>17.112772285555138</c:v>
                </c:pt>
                <c:pt idx="613">
                  <c:v>15.939618238564224</c:v>
                </c:pt>
                <c:pt idx="614">
                  <c:v>14.735515223443866</c:v>
                </c:pt>
                <c:pt idx="615">
                  <c:v>13.891860182924264</c:v>
                </c:pt>
                <c:pt idx="616">
                  <c:v>13.806897445874538</c:v>
                </c:pt>
                <c:pt idx="617">
                  <c:v>13.109643890689121</c:v>
                </c:pt>
                <c:pt idx="618">
                  <c:v>14.163368681123753</c:v>
                </c:pt>
                <c:pt idx="619">
                  <c:v>13.611081288618157</c:v>
                </c:pt>
                <c:pt idx="620">
                  <c:v>13.595894879588554</c:v>
                </c:pt>
                <c:pt idx="621">
                  <c:v>12.228091417382466</c:v>
                </c:pt>
                <c:pt idx="622">
                  <c:v>12.274004421504666</c:v>
                </c:pt>
                <c:pt idx="623">
                  <c:v>12.329437628023562</c:v>
                </c:pt>
                <c:pt idx="624">
                  <c:v>11.70623460314579</c:v>
                </c:pt>
                <c:pt idx="625">
                  <c:v>12.159881816013247</c:v>
                </c:pt>
                <c:pt idx="626">
                  <c:v>12.761645970115818</c:v>
                </c:pt>
                <c:pt idx="627">
                  <c:v>13.179834643741033</c:v>
                </c:pt>
                <c:pt idx="628">
                  <c:v>13.203212788087679</c:v>
                </c:pt>
                <c:pt idx="629">
                  <c:v>12.906285791972762</c:v>
                </c:pt>
                <c:pt idx="630">
                  <c:v>13.129783173750203</c:v>
                </c:pt>
                <c:pt idx="631">
                  <c:v>12.81705029726918</c:v>
                </c:pt>
                <c:pt idx="632">
                  <c:v>12.562221289484732</c:v>
                </c:pt>
                <c:pt idx="633">
                  <c:v>12.138767841427256</c:v>
                </c:pt>
                <c:pt idx="634">
                  <c:v>11.582265451477516</c:v>
                </c:pt>
                <c:pt idx="635">
                  <c:v>11.761831702392957</c:v>
                </c:pt>
                <c:pt idx="636">
                  <c:v>10.595508434907696</c:v>
                </c:pt>
                <c:pt idx="637">
                  <c:v>10.18861534895828</c:v>
                </c:pt>
                <c:pt idx="638">
                  <c:v>10.311357110586949</c:v>
                </c:pt>
                <c:pt idx="639">
                  <c:v>10.120168931172834</c:v>
                </c:pt>
                <c:pt idx="640">
                  <c:v>10.474407042238106</c:v>
                </c:pt>
                <c:pt idx="641">
                  <c:v>11.024920495576907</c:v>
                </c:pt>
                <c:pt idx="642">
                  <c:v>10.134378483944991</c:v>
                </c:pt>
                <c:pt idx="643">
                  <c:v>10.071728952254194</c:v>
                </c:pt>
                <c:pt idx="644">
                  <c:v>9.812744150390337</c:v>
                </c:pt>
                <c:pt idx="645">
                  <c:v>10.219030763748956</c:v>
                </c:pt>
                <c:pt idx="646">
                  <c:v>10.385274793743035</c:v>
                </c:pt>
                <c:pt idx="647">
                  <c:v>10.011488711686521</c:v>
                </c:pt>
                <c:pt idx="648">
                  <c:v>10.1061658708177</c:v>
                </c:pt>
                <c:pt idx="649">
                  <c:v>10.303653441131232</c:v>
                </c:pt>
                <c:pt idx="650">
                  <c:v>11.665379885474753</c:v>
                </c:pt>
                <c:pt idx="651">
                  <c:v>11.675301518593454</c:v>
                </c:pt>
                <c:pt idx="652">
                  <c:v>11.808793761925758</c:v>
                </c:pt>
                <c:pt idx="653">
                  <c:v>12.3157760704909</c:v>
                </c:pt>
                <c:pt idx="654">
                  <c:v>11.915891372662697</c:v>
                </c:pt>
                <c:pt idx="655">
                  <c:v>11.68436542376169</c:v>
                </c:pt>
                <c:pt idx="656">
                  <c:v>12.070779168461218</c:v>
                </c:pt>
                <c:pt idx="657">
                  <c:v>12.264318157211234</c:v>
                </c:pt>
                <c:pt idx="658">
                  <c:v>13.079819787968281</c:v>
                </c:pt>
                <c:pt idx="659">
                  <c:v>13.153382249457316</c:v>
                </c:pt>
                <c:pt idx="660">
                  <c:v>13.015690892257981</c:v>
                </c:pt>
                <c:pt idx="661">
                  <c:v>13.20557803932431</c:v>
                </c:pt>
                <c:pt idx="662">
                  <c:v>14.339135081204351</c:v>
                </c:pt>
                <c:pt idx="663">
                  <c:v>13.079686940816725</c:v>
                </c:pt>
                <c:pt idx="664">
                  <c:v>13.724034265758325</c:v>
                </c:pt>
                <c:pt idx="665">
                  <c:v>13.288633269956815</c:v>
                </c:pt>
                <c:pt idx="666">
                  <c:v>13.823059989584078</c:v>
                </c:pt>
                <c:pt idx="667">
                  <c:v>13.927451567839425</c:v>
                </c:pt>
                <c:pt idx="668">
                  <c:v>13.663469129001445</c:v>
                </c:pt>
                <c:pt idx="669">
                  <c:v>13.483754868934843</c:v>
                </c:pt>
                <c:pt idx="670">
                  <c:v>13.656623187496193</c:v>
                </c:pt>
                <c:pt idx="671">
                  <c:v>14.407685465297176</c:v>
                </c:pt>
                <c:pt idx="672">
                  <c:v>14.343955109562907</c:v>
                </c:pt>
                <c:pt idx="673">
                  <c:v>14.576679567659344</c:v>
                </c:pt>
                <c:pt idx="674">
                  <c:v>14.275996760596076</c:v>
                </c:pt>
                <c:pt idx="675">
                  <c:v>13.859330049200473</c:v>
                </c:pt>
                <c:pt idx="676">
                  <c:v>13.654997258959202</c:v>
                </c:pt>
                <c:pt idx="677">
                  <c:v>13.788606465865952</c:v>
                </c:pt>
                <c:pt idx="678">
                  <c:v>13.372754162633193</c:v>
                </c:pt>
                <c:pt idx="679">
                  <c:v>12.481945733642005</c:v>
                </c:pt>
                <c:pt idx="680">
                  <c:v>12.575690797979743</c:v>
                </c:pt>
                <c:pt idx="681">
                  <c:v>12.899588581196184</c:v>
                </c:pt>
                <c:pt idx="682">
                  <c:v>12.889015709586754</c:v>
                </c:pt>
                <c:pt idx="683">
                  <c:v>12.583808892467243</c:v>
                </c:pt>
                <c:pt idx="684">
                  <c:v>12.374507343138744</c:v>
                </c:pt>
                <c:pt idx="685">
                  <c:v>11.968604830812708</c:v>
                </c:pt>
                <c:pt idx="686">
                  <c:v>12.200234025922226</c:v>
                </c:pt>
                <c:pt idx="687">
                  <c:v>12.194629913400027</c:v>
                </c:pt>
                <c:pt idx="688">
                  <c:v>12.588052769276922</c:v>
                </c:pt>
                <c:pt idx="689">
                  <c:v>12.448676278697215</c:v>
                </c:pt>
                <c:pt idx="690">
                  <c:v>11.890916899243464</c:v>
                </c:pt>
                <c:pt idx="691">
                  <c:v>11.175313160684725</c:v>
                </c:pt>
                <c:pt idx="692">
                  <c:v>11.218962715145139</c:v>
                </c:pt>
                <c:pt idx="693">
                  <c:v>11.060452678605976</c:v>
                </c:pt>
                <c:pt idx="694">
                  <c:v>10.876716193189036</c:v>
                </c:pt>
                <c:pt idx="695">
                  <c:v>10.894963131832492</c:v>
                </c:pt>
                <c:pt idx="696">
                  <c:v>10.551578025623209</c:v>
                </c:pt>
                <c:pt idx="697">
                  <c:v>11.049288494926712</c:v>
                </c:pt>
                <c:pt idx="698">
                  <c:v>10.95159484902546</c:v>
                </c:pt>
                <c:pt idx="699">
                  <c:v>11.081197714158982</c:v>
                </c:pt>
                <c:pt idx="700">
                  <c:v>11.151108332485688</c:v>
                </c:pt>
                <c:pt idx="701">
                  <c:v>11.301929861568734</c:v>
                </c:pt>
                <c:pt idx="702">
                  <c:v>11.415489312778339</c:v>
                </c:pt>
                <c:pt idx="703">
                  <c:v>11.111214588973628</c:v>
                </c:pt>
                <c:pt idx="704">
                  <c:v>11.287601181968236</c:v>
                </c:pt>
                <c:pt idx="705">
                  <c:v>11.317499648574771</c:v>
                </c:pt>
                <c:pt idx="706">
                  <c:v>11.353371889792644</c:v>
                </c:pt>
                <c:pt idx="707">
                  <c:v>11.27453021344926</c:v>
                </c:pt>
                <c:pt idx="708">
                  <c:v>11.137105270651912</c:v>
                </c:pt>
                <c:pt idx="709">
                  <c:v>10.034097213770261</c:v>
                </c:pt>
                <c:pt idx="710">
                  <c:v>10.212864940099971</c:v>
                </c:pt>
                <c:pt idx="711">
                  <c:v>9.7329566618875791</c:v>
                </c:pt>
                <c:pt idx="712">
                  <c:v>9.3892314974894884</c:v>
                </c:pt>
                <c:pt idx="713">
                  <c:v>9.8704559700492638</c:v>
                </c:pt>
                <c:pt idx="714">
                  <c:v>9.5469733334421196</c:v>
                </c:pt>
                <c:pt idx="715">
                  <c:v>9.6853448084977156</c:v>
                </c:pt>
                <c:pt idx="716">
                  <c:v>9.61009649352944</c:v>
                </c:pt>
                <c:pt idx="717">
                  <c:v>9.9583904309264195</c:v>
                </c:pt>
                <c:pt idx="718">
                  <c:v>10.010320526490297</c:v>
                </c:pt>
                <c:pt idx="719">
                  <c:v>10.020094151936483</c:v>
                </c:pt>
                <c:pt idx="720">
                  <c:v>9.9508795335645086</c:v>
                </c:pt>
                <c:pt idx="721">
                  <c:v>8.9956021506742108</c:v>
                </c:pt>
                <c:pt idx="722">
                  <c:v>9.112104446345711</c:v>
                </c:pt>
                <c:pt idx="723">
                  <c:v>9.127999852597112</c:v>
                </c:pt>
                <c:pt idx="724">
                  <c:v>9.2403030358802205</c:v>
                </c:pt>
                <c:pt idx="725">
                  <c:v>9.0103589741510728</c:v>
                </c:pt>
                <c:pt idx="726">
                  <c:v>9.1041935658527446</c:v>
                </c:pt>
                <c:pt idx="727">
                  <c:v>8.7290768505053968</c:v>
                </c:pt>
                <c:pt idx="728">
                  <c:v>9.194642008695201</c:v>
                </c:pt>
                <c:pt idx="729">
                  <c:v>9.4692261985081423</c:v>
                </c:pt>
                <c:pt idx="730">
                  <c:v>9.4423442186716819</c:v>
                </c:pt>
                <c:pt idx="731">
                  <c:v>9.7800075272068074</c:v>
                </c:pt>
                <c:pt idx="732">
                  <c:v>9.6549286721295271</c:v>
                </c:pt>
                <c:pt idx="733">
                  <c:v>9.7554171548201563</c:v>
                </c:pt>
                <c:pt idx="734">
                  <c:v>9.8169143848918399</c:v>
                </c:pt>
                <c:pt idx="735">
                  <c:v>9.8677203366246236</c:v>
                </c:pt>
                <c:pt idx="736">
                  <c:v>10.138947980000038</c:v>
                </c:pt>
                <c:pt idx="737">
                  <c:v>10.016146291950479</c:v>
                </c:pt>
                <c:pt idx="738">
                  <c:v>9.9686376832904848</c:v>
                </c:pt>
                <c:pt idx="739">
                  <c:v>9.3597330140140116</c:v>
                </c:pt>
                <c:pt idx="740">
                  <c:v>9.4554895525549938</c:v>
                </c:pt>
                <c:pt idx="741">
                  <c:v>9.2101829163357039</c:v>
                </c:pt>
                <c:pt idx="742">
                  <c:v>9.2238451969245165</c:v>
                </c:pt>
                <c:pt idx="743">
                  <c:v>9.2801375760275455</c:v>
                </c:pt>
                <c:pt idx="744">
                  <c:v>9.4036338223554523</c:v>
                </c:pt>
                <c:pt idx="745">
                  <c:v>9.9686376832904848</c:v>
                </c:pt>
                <c:pt idx="746">
                  <c:v>10.825200521178305</c:v>
                </c:pt>
                <c:pt idx="747">
                  <c:v>10.898747820667737</c:v>
                </c:pt>
                <c:pt idx="748">
                  <c:v>11.040815901828308</c:v>
                </c:pt>
                <c:pt idx="749">
                  <c:v>10.874128568915552</c:v>
                </c:pt>
                <c:pt idx="750">
                  <c:v>10.970477141103885</c:v>
                </c:pt>
                <c:pt idx="751">
                  <c:v>10.969294515485567</c:v>
                </c:pt>
                <c:pt idx="752">
                  <c:v>11.401974318284525</c:v>
                </c:pt>
                <c:pt idx="753">
                  <c:v>12.456482471305289</c:v>
                </c:pt>
                <c:pt idx="754">
                  <c:v>12.09735069105192</c:v>
                </c:pt>
                <c:pt idx="755">
                  <c:v>11.757543784218143</c:v>
                </c:pt>
                <c:pt idx="756">
                  <c:v>12.073129979275766</c:v>
                </c:pt>
                <c:pt idx="757">
                  <c:v>12.113261259302917</c:v>
                </c:pt>
                <c:pt idx="758">
                  <c:v>12.152163706135443</c:v>
                </c:pt>
                <c:pt idx="759">
                  <c:v>12.096004894282844</c:v>
                </c:pt>
                <c:pt idx="760">
                  <c:v>11.504488714121846</c:v>
                </c:pt>
                <c:pt idx="761">
                  <c:v>11.274515773027165</c:v>
                </c:pt>
                <c:pt idx="762">
                  <c:v>11.189109010002605</c:v>
                </c:pt>
                <c:pt idx="763">
                  <c:v>10.9928047868849</c:v>
                </c:pt>
                <c:pt idx="764">
                  <c:v>10.399070643060918</c:v>
                </c:pt>
                <c:pt idx="765">
                  <c:v>10.451754498789237</c:v>
                </c:pt>
                <c:pt idx="766">
                  <c:v>10.279226239895339</c:v>
                </c:pt>
                <c:pt idx="767">
                  <c:v>9.985450020857078</c:v>
                </c:pt>
                <c:pt idx="768">
                  <c:v>9.3240232223693766</c:v>
                </c:pt>
                <c:pt idx="769">
                  <c:v>9.7120636171834107</c:v>
                </c:pt>
                <c:pt idx="770">
                  <c:v>9.1449746397369491</c:v>
                </c:pt>
                <c:pt idx="771">
                  <c:v>9.3091335517409579</c:v>
                </c:pt>
                <c:pt idx="772">
                  <c:v>9.3489976943099702</c:v>
                </c:pt>
                <c:pt idx="773">
                  <c:v>9.311854023166001</c:v>
                </c:pt>
                <c:pt idx="774">
                  <c:v>9.1671542763668104</c:v>
                </c:pt>
                <c:pt idx="775">
                  <c:v>9.3280454477197186</c:v>
                </c:pt>
                <c:pt idx="776">
                  <c:v>9.3668006069785967</c:v>
                </c:pt>
                <c:pt idx="777">
                  <c:v>9.73039864003578</c:v>
                </c:pt>
                <c:pt idx="778">
                  <c:v>9.4984438271595408</c:v>
                </c:pt>
                <c:pt idx="779">
                  <c:v>9.6201509723210545</c:v>
                </c:pt>
                <c:pt idx="780">
                  <c:v>9.3280598866631657</c:v>
                </c:pt>
                <c:pt idx="781">
                  <c:v>9.5945555858889353</c:v>
                </c:pt>
                <c:pt idx="782">
                  <c:v>9.4288739885991593</c:v>
                </c:pt>
                <c:pt idx="783">
                  <c:v>9.6627507483147088</c:v>
                </c:pt>
                <c:pt idx="784">
                  <c:v>9.936418006812449</c:v>
                </c:pt>
                <c:pt idx="785">
                  <c:v>10.000339690006857</c:v>
                </c:pt>
                <c:pt idx="786">
                  <c:v>9.9176389594638934</c:v>
                </c:pt>
                <c:pt idx="787">
                  <c:v>10.179921104400542</c:v>
                </c:pt>
                <c:pt idx="788">
                  <c:v>10.492860470341302</c:v>
                </c:pt>
                <c:pt idx="789">
                  <c:v>10.420230102167068</c:v>
                </c:pt>
                <c:pt idx="790">
                  <c:v>10.318307018399581</c:v>
                </c:pt>
                <c:pt idx="791">
                  <c:v>10.406064592238685</c:v>
                </c:pt>
                <c:pt idx="792">
                  <c:v>10.636244745849259</c:v>
                </c:pt>
                <c:pt idx="793">
                  <c:v>10.753752778622383</c:v>
                </c:pt>
                <c:pt idx="794">
                  <c:v>10.735032934638561</c:v>
                </c:pt>
                <c:pt idx="795">
                  <c:v>10.885263150173126</c:v>
                </c:pt>
                <c:pt idx="796">
                  <c:v>10.044166854561473</c:v>
                </c:pt>
                <c:pt idx="797">
                  <c:v>9.6543077576379961</c:v>
                </c:pt>
                <c:pt idx="798">
                  <c:v>9.5624839170834175</c:v>
                </c:pt>
                <c:pt idx="799">
                  <c:v>9.2059982414121126</c:v>
                </c:pt>
                <c:pt idx="800">
                  <c:v>9.3167188144672064</c:v>
                </c:pt>
                <c:pt idx="801">
                  <c:v>9.3593633534035092</c:v>
                </c:pt>
                <c:pt idx="802">
                  <c:v>9.3467948926465887</c:v>
                </c:pt>
                <c:pt idx="803">
                  <c:v>9.3920407747009502</c:v>
                </c:pt>
                <c:pt idx="804">
                  <c:v>9.6367712608500042</c:v>
                </c:pt>
                <c:pt idx="805">
                  <c:v>9.6299693607098877</c:v>
                </c:pt>
                <c:pt idx="806">
                  <c:v>9.6750535147685159</c:v>
                </c:pt>
                <c:pt idx="807">
                  <c:v>9.6365792103337125</c:v>
                </c:pt>
                <c:pt idx="808">
                  <c:v>9.2876491949669653</c:v>
                </c:pt>
                <c:pt idx="809">
                  <c:v>9.4208743023197687</c:v>
                </c:pt>
                <c:pt idx="810">
                  <c:v>9.4611528684419266</c:v>
                </c:pt>
                <c:pt idx="811">
                  <c:v>9.6402606544390874</c:v>
                </c:pt>
                <c:pt idx="812">
                  <c:v>9.9585832030202237</c:v>
                </c:pt>
                <c:pt idx="813">
                  <c:v>9.9394048926394802</c:v>
                </c:pt>
                <c:pt idx="814">
                  <c:v>9.922622157494569</c:v>
                </c:pt>
                <c:pt idx="815">
                  <c:v>9.7522533789977928</c:v>
                </c:pt>
                <c:pt idx="816">
                  <c:v>9.5320244609276088</c:v>
                </c:pt>
                <c:pt idx="817">
                  <c:v>9.6037826607292907</c:v>
                </c:pt>
                <c:pt idx="818">
                  <c:v>9.8725259245610921</c:v>
                </c:pt>
                <c:pt idx="819">
                  <c:v>9.8242924351021905</c:v>
                </c:pt>
                <c:pt idx="820">
                  <c:v>9.7619381986575551</c:v>
                </c:pt>
                <c:pt idx="821">
                  <c:v>9.7968343051954943</c:v>
                </c:pt>
                <c:pt idx="822">
                  <c:v>9.7436919815916117</c:v>
                </c:pt>
                <c:pt idx="823">
                  <c:v>9.6941278588418776</c:v>
                </c:pt>
                <c:pt idx="824">
                  <c:v>9.615005326195778</c:v>
                </c:pt>
                <c:pt idx="825">
                  <c:v>9.7245728745756015</c:v>
                </c:pt>
                <c:pt idx="826">
                  <c:v>9.7922799696614096</c:v>
                </c:pt>
                <c:pt idx="827">
                  <c:v>9.7417548742313418</c:v>
                </c:pt>
                <c:pt idx="828">
                  <c:v>9.7634024006774567</c:v>
                </c:pt>
                <c:pt idx="829">
                  <c:v>9.8362695823106296</c:v>
                </c:pt>
                <c:pt idx="830">
                  <c:v>9.8220896334388037</c:v>
                </c:pt>
                <c:pt idx="831">
                  <c:v>9.7376438430945775</c:v>
                </c:pt>
                <c:pt idx="832">
                  <c:v>9.2507423372819328</c:v>
                </c:pt>
                <c:pt idx="833">
                  <c:v>9.2778604089998193</c:v>
                </c:pt>
                <c:pt idx="834">
                  <c:v>9.2947319499311547</c:v>
                </c:pt>
                <c:pt idx="835">
                  <c:v>9.3020363578333267</c:v>
                </c:pt>
                <c:pt idx="836">
                  <c:v>9.7539240719560762</c:v>
                </c:pt>
                <c:pt idx="837">
                  <c:v>9.7532879954649498</c:v>
                </c:pt>
                <c:pt idx="838">
                  <c:v>9.6768722168779568</c:v>
                </c:pt>
                <c:pt idx="839">
                  <c:v>9.576738232798224</c:v>
                </c:pt>
                <c:pt idx="840">
                  <c:v>9.5600298615390074</c:v>
                </c:pt>
                <c:pt idx="841">
                  <c:v>9.5951916609014187</c:v>
                </c:pt>
                <c:pt idx="842">
                  <c:v>9.5850779787450673</c:v>
                </c:pt>
                <c:pt idx="843">
                  <c:v>9.5921903346523045</c:v>
                </c:pt>
                <c:pt idx="844">
                  <c:v>9.5753043532988809</c:v>
                </c:pt>
                <c:pt idx="845">
                  <c:v>9.605024489712342</c:v>
                </c:pt>
                <c:pt idx="846">
                  <c:v>9.5761173183067019</c:v>
                </c:pt>
                <c:pt idx="847">
                  <c:v>9.5738401512789792</c:v>
                </c:pt>
                <c:pt idx="848">
                  <c:v>9.58216473522622</c:v>
                </c:pt>
                <c:pt idx="849">
                  <c:v>9.5910517518777638</c:v>
                </c:pt>
                <c:pt idx="850">
                  <c:v>9.3636953144220989</c:v>
                </c:pt>
                <c:pt idx="851">
                  <c:v>9.366120490600979</c:v>
                </c:pt>
                <c:pt idx="852">
                  <c:v>9.3414860753705504</c:v>
                </c:pt>
                <c:pt idx="853">
                  <c:v>9.4304558757710168</c:v>
                </c:pt>
                <c:pt idx="854">
                  <c:v>9.4462184348708575</c:v>
                </c:pt>
                <c:pt idx="855">
                  <c:v>9.4060286745351256</c:v>
                </c:pt>
                <c:pt idx="856">
                  <c:v>9.4280162606486915</c:v>
                </c:pt>
                <c:pt idx="857">
                  <c:v>9.4923819698179326</c:v>
                </c:pt>
                <c:pt idx="858">
                  <c:v>9.5535232581236933</c:v>
                </c:pt>
                <c:pt idx="859">
                  <c:v>9.6557423587148534</c:v>
                </c:pt>
                <c:pt idx="860">
                  <c:v>9.542744618632037</c:v>
                </c:pt>
                <c:pt idx="861">
                  <c:v>9.4420489234255154</c:v>
                </c:pt>
                <c:pt idx="862">
                  <c:v>9.4769450299634528</c:v>
                </c:pt>
                <c:pt idx="863">
                  <c:v>9.479975958634256</c:v>
                </c:pt>
                <c:pt idx="864">
                  <c:v>9.4208302609546308</c:v>
                </c:pt>
                <c:pt idx="865">
                  <c:v>9.4034121694174626</c:v>
                </c:pt>
                <c:pt idx="866">
                  <c:v>8.4849680019040168</c:v>
                </c:pt>
                <c:pt idx="867">
                  <c:v>8.3514165537283365</c:v>
                </c:pt>
                <c:pt idx="868">
                  <c:v>8.2442445791057022</c:v>
                </c:pt>
                <c:pt idx="869">
                  <c:v>8.2128681901560476</c:v>
                </c:pt>
                <c:pt idx="870">
                  <c:v>8.3152049758991673</c:v>
                </c:pt>
                <c:pt idx="871">
                  <c:v>7.2031922157353732</c:v>
                </c:pt>
                <c:pt idx="872">
                  <c:v>6.5827241012260913</c:v>
                </c:pt>
                <c:pt idx="873">
                  <c:v>6.8049637719220089</c:v>
                </c:pt>
                <c:pt idx="874">
                  <c:v>6.4556640959447629</c:v>
                </c:pt>
                <c:pt idx="875">
                  <c:v>6.4278211434279688</c:v>
                </c:pt>
                <c:pt idx="876">
                  <c:v>5.7382564579660675</c:v>
                </c:pt>
                <c:pt idx="877">
                  <c:v>5.929311790228625</c:v>
                </c:pt>
                <c:pt idx="878">
                  <c:v>5.5879818387989681</c:v>
                </c:pt>
                <c:pt idx="879">
                  <c:v>5.6494787080818938</c:v>
                </c:pt>
                <c:pt idx="880">
                  <c:v>6.2952017900457324</c:v>
                </c:pt>
                <c:pt idx="881">
                  <c:v>6.3268843038187947</c:v>
                </c:pt>
                <c:pt idx="882">
                  <c:v>5.9401037862974588</c:v>
                </c:pt>
                <c:pt idx="883">
                  <c:v>6.2319927134393209</c:v>
                </c:pt>
                <c:pt idx="884">
                  <c:v>6.1213992119584058</c:v>
                </c:pt>
                <c:pt idx="885">
                  <c:v>5.7580271627829154</c:v>
                </c:pt>
                <c:pt idx="886">
                  <c:v>5.8508311096510282</c:v>
                </c:pt>
                <c:pt idx="887">
                  <c:v>5.5508161462331076</c:v>
                </c:pt>
                <c:pt idx="888">
                  <c:v>5.2064505744001774</c:v>
                </c:pt>
                <c:pt idx="889">
                  <c:v>5.0568643756666498</c:v>
                </c:pt>
                <c:pt idx="890">
                  <c:v>5.1399307966651557</c:v>
                </c:pt>
                <c:pt idx="891">
                  <c:v>5.3441603421765587</c:v>
                </c:pt>
                <c:pt idx="892">
                  <c:v>5.1791758301650646</c:v>
                </c:pt>
                <c:pt idx="893">
                  <c:v>5.0637413627486128</c:v>
                </c:pt>
                <c:pt idx="894">
                  <c:v>5.1559525514345808</c:v>
                </c:pt>
                <c:pt idx="895">
                  <c:v>4.8997438149942996</c:v>
                </c:pt>
                <c:pt idx="896">
                  <c:v>4.7944757359440455</c:v>
                </c:pt>
                <c:pt idx="897">
                  <c:v>4.7860132523240217</c:v>
                </c:pt>
                <c:pt idx="898">
                  <c:v>4.8097859664917415</c:v>
                </c:pt>
                <c:pt idx="899">
                  <c:v>5.2430661069940037</c:v>
                </c:pt>
                <c:pt idx="900">
                  <c:v>5.4651498267502081</c:v>
                </c:pt>
                <c:pt idx="901">
                  <c:v>5.5389216669663135</c:v>
                </c:pt>
                <c:pt idx="902">
                  <c:v>6.1133605368351054</c:v>
                </c:pt>
                <c:pt idx="903">
                  <c:v>5.7615948933699332</c:v>
                </c:pt>
                <c:pt idx="904">
                  <c:v>5.9355407873973061</c:v>
                </c:pt>
                <c:pt idx="905">
                  <c:v>5.9130618853663268</c:v>
                </c:pt>
                <c:pt idx="906">
                  <c:v>6.030789764176367</c:v>
                </c:pt>
                <c:pt idx="907">
                  <c:v>5.6417465200493986</c:v>
                </c:pt>
                <c:pt idx="908">
                  <c:v>5.7035639530991791</c:v>
                </c:pt>
                <c:pt idx="909">
                  <c:v>5.4041919255946729</c:v>
                </c:pt>
                <c:pt idx="910">
                  <c:v>5.8020727302194279</c:v>
                </c:pt>
                <c:pt idx="911">
                  <c:v>5.6490184362625513</c:v>
                </c:pt>
                <c:pt idx="912">
                  <c:v>5.7163616477938817</c:v>
                </c:pt>
                <c:pt idx="913">
                  <c:v>5.5341157167624466</c:v>
                </c:pt>
                <c:pt idx="914">
                  <c:v>5.6831918282127605</c:v>
                </c:pt>
                <c:pt idx="915">
                  <c:v>5.8308925404723109</c:v>
                </c:pt>
                <c:pt idx="916">
                  <c:v>5.6731683935192114</c:v>
                </c:pt>
                <c:pt idx="917">
                  <c:v>5.7041848675907039</c:v>
                </c:pt>
                <c:pt idx="918">
                  <c:v>5.685667903700419</c:v>
                </c:pt>
                <c:pt idx="919">
                  <c:v>6.0278819354461426</c:v>
                </c:pt>
                <c:pt idx="920">
                  <c:v>5.9519029626229383</c:v>
                </c:pt>
                <c:pt idx="921">
                  <c:v>5.9601827821488911</c:v>
                </c:pt>
                <c:pt idx="922">
                  <c:v>5.9667605038297342</c:v>
                </c:pt>
                <c:pt idx="923">
                  <c:v>5.4398139967764267</c:v>
                </c:pt>
                <c:pt idx="924">
                  <c:v>5.4522950963805901</c:v>
                </c:pt>
                <c:pt idx="925">
                  <c:v>5.4137550884688768</c:v>
                </c:pt>
                <c:pt idx="926">
                  <c:v>5.2535472850283176</c:v>
                </c:pt>
                <c:pt idx="927">
                  <c:v>5.4799261431703803</c:v>
                </c:pt>
                <c:pt idx="928">
                  <c:v>5.3684705813166449</c:v>
                </c:pt>
                <c:pt idx="929">
                  <c:v>5.4044482334755655</c:v>
                </c:pt>
                <c:pt idx="930">
                  <c:v>5.4392808042264145</c:v>
                </c:pt>
                <c:pt idx="931">
                  <c:v>5.4086365162867116</c:v>
                </c:pt>
                <c:pt idx="932">
                  <c:v>5.5132194234808383</c:v>
                </c:pt>
                <c:pt idx="933">
                  <c:v>5.3246116496078049</c:v>
                </c:pt>
                <c:pt idx="934">
                  <c:v>5.2876733855573059</c:v>
                </c:pt>
                <c:pt idx="935">
                  <c:v>5.32988075646242</c:v>
                </c:pt>
                <c:pt idx="936">
                  <c:v>5.3011150970530476</c:v>
                </c:pt>
                <c:pt idx="937">
                  <c:v>5.324392525148399</c:v>
                </c:pt>
                <c:pt idx="938">
                  <c:v>5.3227665951327614</c:v>
                </c:pt>
                <c:pt idx="939">
                  <c:v>5.3267509154841015</c:v>
                </c:pt>
                <c:pt idx="940">
                  <c:v>5.2994039720958304</c:v>
                </c:pt>
                <c:pt idx="941">
                  <c:v>5.1315553119304917</c:v>
                </c:pt>
                <c:pt idx="942">
                  <c:v>5.0985320568668628</c:v>
                </c:pt>
                <c:pt idx="943">
                  <c:v>5.1548161348712194</c:v>
                </c:pt>
                <c:pt idx="944">
                  <c:v>5.1128390787915112</c:v>
                </c:pt>
                <c:pt idx="945">
                  <c:v>5.1574239751441704</c:v>
                </c:pt>
                <c:pt idx="946">
                  <c:v>5.2063899264017772</c:v>
                </c:pt>
                <c:pt idx="947">
                  <c:v>5.1220372742663303</c:v>
                </c:pt>
                <c:pt idx="948">
                  <c:v>5.114851996149782</c:v>
                </c:pt>
                <c:pt idx="949">
                  <c:v>5.1255032032785017</c:v>
                </c:pt>
                <c:pt idx="950">
                  <c:v>5.0477419887111896</c:v>
                </c:pt>
                <c:pt idx="951">
                  <c:v>5.0266031063932655</c:v>
                </c:pt>
                <c:pt idx="952">
                  <c:v>5.4218569371118708</c:v>
                </c:pt>
                <c:pt idx="953">
                  <c:v>5.4283974753712254</c:v>
                </c:pt>
                <c:pt idx="954">
                  <c:v>5.4564689387696479</c:v>
                </c:pt>
                <c:pt idx="955">
                  <c:v>5.3947244264505372</c:v>
                </c:pt>
                <c:pt idx="956">
                  <c:v>5.4022623977555622</c:v>
                </c:pt>
                <c:pt idx="957">
                  <c:v>5.3705336778848292</c:v>
                </c:pt>
                <c:pt idx="958">
                  <c:v>5.3480735457410082</c:v>
                </c:pt>
                <c:pt idx="959">
                  <c:v>5.3538845099903449</c:v>
                </c:pt>
                <c:pt idx="960">
                  <c:v>5.367157997814104</c:v>
                </c:pt>
                <c:pt idx="961">
                  <c:v>5.4322901036260944</c:v>
                </c:pt>
                <c:pt idx="962">
                  <c:v>5.7899414360150523</c:v>
                </c:pt>
                <c:pt idx="963">
                  <c:v>5.8363414236323088</c:v>
                </c:pt>
                <c:pt idx="964">
                  <c:v>5.9143044359268915</c:v>
                </c:pt>
                <c:pt idx="965">
                  <c:v>5.8467269379365554</c:v>
                </c:pt>
                <c:pt idx="966">
                  <c:v>5.9227416495475813</c:v>
                </c:pt>
                <c:pt idx="967">
                  <c:v>6.1253160248890568</c:v>
                </c:pt>
                <c:pt idx="968">
                  <c:v>5.6342598088419118</c:v>
                </c:pt>
                <c:pt idx="969">
                  <c:v>5.741119522275004</c:v>
                </c:pt>
                <c:pt idx="970">
                  <c:v>5.6992171923483879</c:v>
                </c:pt>
                <c:pt idx="971">
                  <c:v>5.6943220770479828</c:v>
                </c:pt>
                <c:pt idx="972">
                  <c:v>5.6998492972059145</c:v>
                </c:pt>
                <c:pt idx="973">
                  <c:v>5.7069443263810156</c:v>
                </c:pt>
                <c:pt idx="974">
                  <c:v>5.7140880901323623</c:v>
                </c:pt>
                <c:pt idx="975">
                  <c:v>5.6885973915851356</c:v>
                </c:pt>
                <c:pt idx="976">
                  <c:v>5.5619980189119076</c:v>
                </c:pt>
                <c:pt idx="977">
                  <c:v>5.7613454449113286</c:v>
                </c:pt>
                <c:pt idx="978">
                  <c:v>5.7725352593786825</c:v>
                </c:pt>
                <c:pt idx="979">
                  <c:v>5.7836868080582811</c:v>
                </c:pt>
                <c:pt idx="980">
                  <c:v>5.7683787437217617</c:v>
                </c:pt>
                <c:pt idx="981">
                  <c:v>5.8603238787944987</c:v>
                </c:pt>
                <c:pt idx="982">
                  <c:v>5.8430032578884656</c:v>
                </c:pt>
                <c:pt idx="983">
                  <c:v>5.7744348240073498</c:v>
                </c:pt>
                <c:pt idx="984">
                  <c:v>5.7802443436230204</c:v>
                </c:pt>
                <c:pt idx="985">
                  <c:v>5.776637986459491</c:v>
                </c:pt>
                <c:pt idx="986">
                  <c:v>5.8027387699209978</c:v>
                </c:pt>
                <c:pt idx="987">
                  <c:v>5.8567713102070806</c:v>
                </c:pt>
                <c:pt idx="988">
                  <c:v>5.9866178482218304</c:v>
                </c:pt>
                <c:pt idx="989">
                  <c:v>5.9518744440461608</c:v>
                </c:pt>
                <c:pt idx="990">
                  <c:v>5.9626364769045503</c:v>
                </c:pt>
                <c:pt idx="991">
                  <c:v>6.0198345984354171</c:v>
                </c:pt>
                <c:pt idx="992">
                  <c:v>6.0439159644264793</c:v>
                </c:pt>
                <c:pt idx="993">
                  <c:v>5.9579337729091941</c:v>
                </c:pt>
                <c:pt idx="994">
                  <c:v>5.9500102574165599</c:v>
                </c:pt>
                <c:pt idx="995">
                  <c:v>5.9675442272046215</c:v>
                </c:pt>
                <c:pt idx="996">
                  <c:v>5.9473486285674975</c:v>
                </c:pt>
                <c:pt idx="997">
                  <c:v>5.859964326183734</c:v>
                </c:pt>
                <c:pt idx="998">
                  <c:v>5.892509621907128</c:v>
                </c:pt>
                <c:pt idx="999">
                  <c:v>6.0433094903570428</c:v>
                </c:pt>
                <c:pt idx="1000">
                  <c:v>6.016754574399612</c:v>
                </c:pt>
                <c:pt idx="1001">
                  <c:v>6.0600304966159291</c:v>
                </c:pt>
                <c:pt idx="1002">
                  <c:v>6.0722820014935541</c:v>
                </c:pt>
                <c:pt idx="1003">
                  <c:v>6.0704250350749982</c:v>
                </c:pt>
                <c:pt idx="1004">
                  <c:v>6.1484660206214743</c:v>
                </c:pt>
                <c:pt idx="1005">
                  <c:v>7.2155946190314912</c:v>
                </c:pt>
                <c:pt idx="1006">
                  <c:v>7.3533213542298927</c:v>
                </c:pt>
                <c:pt idx="1007">
                  <c:v>7.2790592804626426</c:v>
                </c:pt>
                <c:pt idx="1008">
                  <c:v>7.4474505181215731</c:v>
                </c:pt>
                <c:pt idx="1009">
                  <c:v>7.4816607312258725</c:v>
                </c:pt>
                <c:pt idx="1010">
                  <c:v>7.687309715814532</c:v>
                </c:pt>
                <c:pt idx="1011">
                  <c:v>7.8216799030967676</c:v>
                </c:pt>
                <c:pt idx="1012">
                  <c:v>7.6962725409854356</c:v>
                </c:pt>
                <c:pt idx="1013">
                  <c:v>7.8731082139547421</c:v>
                </c:pt>
                <c:pt idx="1014">
                  <c:v>7.4885665976733709</c:v>
                </c:pt>
                <c:pt idx="1015">
                  <c:v>7.5256084687211375</c:v>
                </c:pt>
                <c:pt idx="1016">
                  <c:v>7.5360289987570512</c:v>
                </c:pt>
                <c:pt idx="1017">
                  <c:v>7.6412133260207487</c:v>
                </c:pt>
                <c:pt idx="1018">
                  <c:v>7.4924415354500633</c:v>
                </c:pt>
                <c:pt idx="1019">
                  <c:v>7.7415205877723308</c:v>
                </c:pt>
                <c:pt idx="1020">
                  <c:v>7.7657384117597932</c:v>
                </c:pt>
                <c:pt idx="1021">
                  <c:v>7.8344180321593342</c:v>
                </c:pt>
                <c:pt idx="1022">
                  <c:v>7.8424422668605462</c:v>
                </c:pt>
                <c:pt idx="1023">
                  <c:v>7.8928251301954759</c:v>
                </c:pt>
                <c:pt idx="1024">
                  <c:v>7.8582914655356335</c:v>
                </c:pt>
                <c:pt idx="1025">
                  <c:v>7.9837305948011892</c:v>
                </c:pt>
                <c:pt idx="1026">
                  <c:v>8.2395314063218592</c:v>
                </c:pt>
                <c:pt idx="1027">
                  <c:v>8.0805838409627544</c:v>
                </c:pt>
                <c:pt idx="1028">
                  <c:v>7.7044895477804483</c:v>
                </c:pt>
                <c:pt idx="1029">
                  <c:v>7.8062682332416191</c:v>
                </c:pt>
                <c:pt idx="1030">
                  <c:v>7.7899186930156539</c:v>
                </c:pt>
                <c:pt idx="1031">
                  <c:v>7.8148310738028233</c:v>
                </c:pt>
                <c:pt idx="1032">
                  <c:v>7.7589581722528091</c:v>
                </c:pt>
                <c:pt idx="1033">
                  <c:v>7.9118113915385697</c:v>
                </c:pt>
                <c:pt idx="1034">
                  <c:v>7.9886574787344609</c:v>
                </c:pt>
                <c:pt idx="1035">
                  <c:v>8.1403461207115502</c:v>
                </c:pt>
                <c:pt idx="1036">
                  <c:v>8.5292377477998009</c:v>
                </c:pt>
                <c:pt idx="1037">
                  <c:v>8.6222117222836765</c:v>
                </c:pt>
                <c:pt idx="1038">
                  <c:v>8.5697805635914097</c:v>
                </c:pt>
                <c:pt idx="1039">
                  <c:v>8.4974729268738471</c:v>
                </c:pt>
                <c:pt idx="1040">
                  <c:v>8.6197482817956832</c:v>
                </c:pt>
                <c:pt idx="1041">
                  <c:v>8.8459155964781395</c:v>
                </c:pt>
                <c:pt idx="1042">
                  <c:v>9.1299203562813922</c:v>
                </c:pt>
                <c:pt idx="1043">
                  <c:v>9.4320370413653638</c:v>
                </c:pt>
                <c:pt idx="1044">
                  <c:v>10.653280901086374</c:v>
                </c:pt>
                <c:pt idx="1045">
                  <c:v>10.309644542474706</c:v>
                </c:pt>
                <c:pt idx="1046">
                  <c:v>11.555465057216432</c:v>
                </c:pt>
                <c:pt idx="1047">
                  <c:v>11.820882820187419</c:v>
                </c:pt>
                <c:pt idx="1048">
                  <c:v>12.132509602625639</c:v>
                </c:pt>
                <c:pt idx="1049">
                  <c:v>11.658961364789709</c:v>
                </c:pt>
                <c:pt idx="1050">
                  <c:v>10.8589955876733</c:v>
                </c:pt>
                <c:pt idx="1051">
                  <c:v>10.751516765171106</c:v>
                </c:pt>
                <c:pt idx="1052">
                  <c:v>12.121451551464936</c:v>
                </c:pt>
                <c:pt idx="1053">
                  <c:v>11.797066423964679</c:v>
                </c:pt>
                <c:pt idx="1054">
                  <c:v>11.774914223545332</c:v>
                </c:pt>
                <c:pt idx="1055">
                  <c:v>11.356072145218214</c:v>
                </c:pt>
                <c:pt idx="1056">
                  <c:v>11.654433022311116</c:v>
                </c:pt>
                <c:pt idx="1057">
                  <c:v>11.81046662109522</c:v>
                </c:pt>
                <c:pt idx="1058">
                  <c:v>11.906833243071841</c:v>
                </c:pt>
                <c:pt idx="1059">
                  <c:v>12.824585019996755</c:v>
                </c:pt>
                <c:pt idx="1060">
                  <c:v>13.020597558713142</c:v>
                </c:pt>
                <c:pt idx="1061">
                  <c:v>12.893705778582442</c:v>
                </c:pt>
                <c:pt idx="1062">
                  <c:v>12.804285455052254</c:v>
                </c:pt>
                <c:pt idx="1063">
                  <c:v>12.301525364142298</c:v>
                </c:pt>
                <c:pt idx="1064">
                  <c:v>12.67862250663754</c:v>
                </c:pt>
                <c:pt idx="1065">
                  <c:v>12.663118421629768</c:v>
                </c:pt>
                <c:pt idx="1066">
                  <c:v>12.927708779170848</c:v>
                </c:pt>
                <c:pt idx="1067">
                  <c:v>12.138168586090222</c:v>
                </c:pt>
                <c:pt idx="1068">
                  <c:v>11.397037327830164</c:v>
                </c:pt>
                <c:pt idx="1069">
                  <c:v>11.569240690534853</c:v>
                </c:pt>
                <c:pt idx="1070">
                  <c:v>11.56597583767244</c:v>
                </c:pt>
                <c:pt idx="1071">
                  <c:v>11.894127604219653</c:v>
                </c:pt>
                <c:pt idx="1072">
                  <c:v>11.761311146321255</c:v>
                </c:pt>
                <c:pt idx="1073">
                  <c:v>11.367917168331251</c:v>
                </c:pt>
                <c:pt idx="1074">
                  <c:v>11.829626881687675</c:v>
                </c:pt>
                <c:pt idx="1075">
                  <c:v>11.722254913281549</c:v>
                </c:pt>
                <c:pt idx="1076">
                  <c:v>12.044810510573759</c:v>
                </c:pt>
                <c:pt idx="1077">
                  <c:v>12.170593308872968</c:v>
                </c:pt>
                <c:pt idx="1078">
                  <c:v>12.855070469208057</c:v>
                </c:pt>
                <c:pt idx="1079">
                  <c:v>13.068796393229132</c:v>
                </c:pt>
                <c:pt idx="1080">
                  <c:v>13.299632116274147</c:v>
                </c:pt>
                <c:pt idx="1081">
                  <c:v>13.781468838480738</c:v>
                </c:pt>
                <c:pt idx="1082">
                  <c:v>13.428679768914408</c:v>
                </c:pt>
                <c:pt idx="1083">
                  <c:v>13.71222245295454</c:v>
                </c:pt>
                <c:pt idx="1084">
                  <c:v>14.087263358303884</c:v>
                </c:pt>
                <c:pt idx="1085">
                  <c:v>15.000172004560728</c:v>
                </c:pt>
                <c:pt idx="1086">
                  <c:v>15.823975113998218</c:v>
                </c:pt>
                <c:pt idx="1087">
                  <c:v>16.0512124231469</c:v>
                </c:pt>
                <c:pt idx="1088">
                  <c:v>16.28148354727643</c:v>
                </c:pt>
                <c:pt idx="1089">
                  <c:v>17.434550294359955</c:v>
                </c:pt>
                <c:pt idx="1090">
                  <c:v>19.246352249350313</c:v>
                </c:pt>
                <c:pt idx="1091">
                  <c:v>16.535372519957519</c:v>
                </c:pt>
                <c:pt idx="1092">
                  <c:v>18.346007732906678</c:v>
                </c:pt>
                <c:pt idx="1093">
                  <c:v>17.683633679104577</c:v>
                </c:pt>
                <c:pt idx="1094">
                  <c:v>15.994704888260779</c:v>
                </c:pt>
                <c:pt idx="1095">
                  <c:v>15.648672234314407</c:v>
                </c:pt>
                <c:pt idx="1096">
                  <c:v>15.971819142197813</c:v>
                </c:pt>
                <c:pt idx="1097">
                  <c:v>17.686440788626221</c:v>
                </c:pt>
                <c:pt idx="1098">
                  <c:v>16.583621892993534</c:v>
                </c:pt>
                <c:pt idx="1099">
                  <c:v>16.233216846029638</c:v>
                </c:pt>
                <c:pt idx="1100">
                  <c:v>16.57343889799407</c:v>
                </c:pt>
                <c:pt idx="1101">
                  <c:v>16.931707897775752</c:v>
                </c:pt>
                <c:pt idx="1102">
                  <c:v>18.166538951143728</c:v>
                </c:pt>
                <c:pt idx="1103">
                  <c:v>18.592172820132586</c:v>
                </c:pt>
                <c:pt idx="1104">
                  <c:v>17.975135617425163</c:v>
                </c:pt>
                <c:pt idx="1105">
                  <c:v>16.795399878598452</c:v>
                </c:pt>
                <c:pt idx="1106">
                  <c:v>17.471618878562079</c:v>
                </c:pt>
                <c:pt idx="1107">
                  <c:v>16.845254965650632</c:v>
                </c:pt>
                <c:pt idx="1108">
                  <c:v>15.165043524631372</c:v>
                </c:pt>
                <c:pt idx="1109">
                  <c:v>16.109942252639712</c:v>
                </c:pt>
                <c:pt idx="1110">
                  <c:v>14.014043122693474</c:v>
                </c:pt>
                <c:pt idx="1111">
                  <c:v>14.33366814677742</c:v>
                </c:pt>
                <c:pt idx="1112">
                  <c:v>15.771913615916445</c:v>
                </c:pt>
                <c:pt idx="1113">
                  <c:v>15.571187904416213</c:v>
                </c:pt>
                <c:pt idx="1114">
                  <c:v>15.92074966237309</c:v>
                </c:pt>
                <c:pt idx="1115">
                  <c:v>15.672287193598635</c:v>
                </c:pt>
                <c:pt idx="1116">
                  <c:v>15.29375617160405</c:v>
                </c:pt>
                <c:pt idx="1117">
                  <c:v>14.639695149115795</c:v>
                </c:pt>
                <c:pt idx="1118">
                  <c:v>14.508329897448876</c:v>
                </c:pt>
                <c:pt idx="1119">
                  <c:v>14.656069959341092</c:v>
                </c:pt>
                <c:pt idx="1120">
                  <c:v>14.594649982422437</c:v>
                </c:pt>
                <c:pt idx="1121">
                  <c:v>14.014096549002192</c:v>
                </c:pt>
                <c:pt idx="1122">
                  <c:v>14.125264758876961</c:v>
                </c:pt>
                <c:pt idx="1123">
                  <c:v>14.075412559613467</c:v>
                </c:pt>
                <c:pt idx="1124">
                  <c:v>14.2059446302731</c:v>
                </c:pt>
                <c:pt idx="1125">
                  <c:v>14.913037511424328</c:v>
                </c:pt>
                <c:pt idx="1126">
                  <c:v>15.37739188472915</c:v>
                </c:pt>
                <c:pt idx="1127">
                  <c:v>15.552619678949755</c:v>
                </c:pt>
                <c:pt idx="1128">
                  <c:v>16.001464191669431</c:v>
                </c:pt>
                <c:pt idx="1129">
                  <c:v>16.220980501672972</c:v>
                </c:pt>
                <c:pt idx="1130">
                  <c:v>17.456340054379851</c:v>
                </c:pt>
                <c:pt idx="1131">
                  <c:v>16.972107758416069</c:v>
                </c:pt>
                <c:pt idx="1132">
                  <c:v>17.657901834676057</c:v>
                </c:pt>
                <c:pt idx="1133">
                  <c:v>17.694037603985869</c:v>
                </c:pt>
                <c:pt idx="1134">
                  <c:v>17.541041429548816</c:v>
                </c:pt>
                <c:pt idx="1135">
                  <c:v>16.788542385938442</c:v>
                </c:pt>
                <c:pt idx="1136">
                  <c:v>17.039253143853728</c:v>
                </c:pt>
                <c:pt idx="1137">
                  <c:v>16.830819430475426</c:v>
                </c:pt>
                <c:pt idx="1138">
                  <c:v>16.11103679404912</c:v>
                </c:pt>
                <c:pt idx="1139">
                  <c:v>14.862876299548736</c:v>
                </c:pt>
                <c:pt idx="1140">
                  <c:v>15.247089407317414</c:v>
                </c:pt>
                <c:pt idx="1141">
                  <c:v>15.339937756339419</c:v>
                </c:pt>
                <c:pt idx="1142">
                  <c:v>15.129091142471788</c:v>
                </c:pt>
                <c:pt idx="1143">
                  <c:v>15.297754571588726</c:v>
                </c:pt>
                <c:pt idx="1144">
                  <c:v>16.140940316134166</c:v>
                </c:pt>
                <c:pt idx="1145">
                  <c:v>15.914972272179046</c:v>
                </c:pt>
                <c:pt idx="1146">
                  <c:v>14.990550720688061</c:v>
                </c:pt>
                <c:pt idx="1147">
                  <c:v>14.980208886960193</c:v>
                </c:pt>
                <c:pt idx="1148">
                  <c:v>15.389658553085024</c:v>
                </c:pt>
                <c:pt idx="1149">
                  <c:v>15.022949451893965</c:v>
                </c:pt>
                <c:pt idx="1150">
                  <c:v>14.99124238969908</c:v>
                </c:pt>
                <c:pt idx="1151">
                  <c:v>15.334735073060587</c:v>
                </c:pt>
                <c:pt idx="1152">
                  <c:v>15.060712592895795</c:v>
                </c:pt>
                <c:pt idx="1153">
                  <c:v>14.423303626090709</c:v>
                </c:pt>
                <c:pt idx="1154">
                  <c:v>14.062185640154784</c:v>
                </c:pt>
                <c:pt idx="1155">
                  <c:v>14.192267187684696</c:v>
                </c:pt>
                <c:pt idx="1156">
                  <c:v>14.240308628105947</c:v>
                </c:pt>
                <c:pt idx="1157">
                  <c:v>14.428549629157173</c:v>
                </c:pt>
                <c:pt idx="1158">
                  <c:v>15.299159570243903</c:v>
                </c:pt>
                <c:pt idx="1159">
                  <c:v>15.708417185852436</c:v>
                </c:pt>
                <c:pt idx="1160">
                  <c:v>15.665467243670239</c:v>
                </c:pt>
                <c:pt idx="1161">
                  <c:v>15.637432240637153</c:v>
                </c:pt>
                <c:pt idx="1162">
                  <c:v>15.308832837270264</c:v>
                </c:pt>
                <c:pt idx="1163">
                  <c:v>15.551259443237237</c:v>
                </c:pt>
                <c:pt idx="1164">
                  <c:v>15.438914384800173</c:v>
                </c:pt>
                <c:pt idx="1165">
                  <c:v>15.281732093763154</c:v>
                </c:pt>
                <c:pt idx="1166">
                  <c:v>14.957910843600866</c:v>
                </c:pt>
                <c:pt idx="1167">
                  <c:v>15.050172933074256</c:v>
                </c:pt>
                <c:pt idx="1168">
                  <c:v>15.392855539216637</c:v>
                </c:pt>
                <c:pt idx="1169">
                  <c:v>15.319544331608629</c:v>
                </c:pt>
                <c:pt idx="1170">
                  <c:v>15.315850613292342</c:v>
                </c:pt>
                <c:pt idx="1171">
                  <c:v>15.300567458166398</c:v>
                </c:pt>
                <c:pt idx="1172">
                  <c:v>15.195703694669556</c:v>
                </c:pt>
                <c:pt idx="1173">
                  <c:v>15.143180120824665</c:v>
                </c:pt>
                <c:pt idx="1174">
                  <c:v>15.079562396242485</c:v>
                </c:pt>
                <c:pt idx="1175">
                  <c:v>15.180357003756525</c:v>
                </c:pt>
                <c:pt idx="1176">
                  <c:v>15.055007401854905</c:v>
                </c:pt>
                <c:pt idx="1177">
                  <c:v>14.815578512770843</c:v>
                </c:pt>
                <c:pt idx="1178">
                  <c:v>14.89050987333847</c:v>
                </c:pt>
                <c:pt idx="1179">
                  <c:v>14.386191722100964</c:v>
                </c:pt>
                <c:pt idx="1180">
                  <c:v>12.746735361910428</c:v>
                </c:pt>
                <c:pt idx="1181">
                  <c:v>12.549228297174938</c:v>
                </c:pt>
                <c:pt idx="1182">
                  <c:v>12.005050334312136</c:v>
                </c:pt>
                <c:pt idx="1183">
                  <c:v>12.201529281214</c:v>
                </c:pt>
                <c:pt idx="1184">
                  <c:v>12.192759949714413</c:v>
                </c:pt>
                <c:pt idx="1185">
                  <c:v>11.98319270756144</c:v>
                </c:pt>
                <c:pt idx="1186">
                  <c:v>12.263665475565496</c:v>
                </c:pt>
                <c:pt idx="1187">
                  <c:v>12.336722541503786</c:v>
                </c:pt>
                <c:pt idx="1188">
                  <c:v>12.410308106780978</c:v>
                </c:pt>
                <c:pt idx="1189">
                  <c:v>12.21357501968804</c:v>
                </c:pt>
                <c:pt idx="1190">
                  <c:v>12.133650351611367</c:v>
                </c:pt>
                <c:pt idx="1191">
                  <c:v>12.053154587464322</c:v>
                </c:pt>
                <c:pt idx="1192">
                  <c:v>11.811626142925387</c:v>
                </c:pt>
                <c:pt idx="1193">
                  <c:v>12.19232819795049</c:v>
                </c:pt>
                <c:pt idx="1194">
                  <c:v>12.167428089895591</c:v>
                </c:pt>
                <c:pt idx="1195">
                  <c:v>12.710026330319069</c:v>
                </c:pt>
                <c:pt idx="1196">
                  <c:v>12.696324340787474</c:v>
                </c:pt>
                <c:pt idx="1197">
                  <c:v>12.30490284963545</c:v>
                </c:pt>
                <c:pt idx="1198">
                  <c:v>12.32678502480797</c:v>
                </c:pt>
                <c:pt idx="1199">
                  <c:v>12.303792423170293</c:v>
                </c:pt>
                <c:pt idx="1200">
                  <c:v>12.383166931274932</c:v>
                </c:pt>
                <c:pt idx="1201">
                  <c:v>12.132807064082986</c:v>
                </c:pt>
                <c:pt idx="1202">
                  <c:v>11.899414760862561</c:v>
                </c:pt>
                <c:pt idx="1203">
                  <c:v>11.982786947374361</c:v>
                </c:pt>
                <c:pt idx="1204">
                  <c:v>11.789523037871041</c:v>
                </c:pt>
                <c:pt idx="1205">
                  <c:v>11.81222467520627</c:v>
                </c:pt>
                <c:pt idx="1206">
                  <c:v>12.157513676987932</c:v>
                </c:pt>
                <c:pt idx="1207">
                  <c:v>12.189515311372826</c:v>
                </c:pt>
                <c:pt idx="1208">
                  <c:v>11.944773995646527</c:v>
                </c:pt>
                <c:pt idx="1209">
                  <c:v>11.111512772008481</c:v>
                </c:pt>
                <c:pt idx="1210">
                  <c:v>11.080190533902336</c:v>
                </c:pt>
                <c:pt idx="1211">
                  <c:v>12.806078885683727</c:v>
                </c:pt>
                <c:pt idx="1212">
                  <c:v>13.670008944204657</c:v>
                </c:pt>
                <c:pt idx="1213">
                  <c:v>14.123570962130533</c:v>
                </c:pt>
                <c:pt idx="1214">
                  <c:v>13.686533929792292</c:v>
                </c:pt>
                <c:pt idx="1215">
                  <c:v>13.940178867324759</c:v>
                </c:pt>
                <c:pt idx="1216">
                  <c:v>13.611978005412546</c:v>
                </c:pt>
                <c:pt idx="1217">
                  <c:v>13.602896772033532</c:v>
                </c:pt>
                <c:pt idx="1218">
                  <c:v>13.693862161581491</c:v>
                </c:pt>
                <c:pt idx="1219">
                  <c:v>13.787923458742368</c:v>
                </c:pt>
                <c:pt idx="1220">
                  <c:v>13.655787118700232</c:v>
                </c:pt>
                <c:pt idx="1221">
                  <c:v>13.917888044176475</c:v>
                </c:pt>
                <c:pt idx="1222">
                  <c:v>13.814257446296615</c:v>
                </c:pt>
                <c:pt idx="1223">
                  <c:v>13.841394289380302</c:v>
                </c:pt>
                <c:pt idx="1224">
                  <c:v>13.703409801667339</c:v>
                </c:pt>
                <c:pt idx="1225">
                  <c:v>13.019270534788523</c:v>
                </c:pt>
                <c:pt idx="1226">
                  <c:v>13.032136457002782</c:v>
                </c:pt>
                <c:pt idx="1227">
                  <c:v>13.389885620811629</c:v>
                </c:pt>
                <c:pt idx="1228">
                  <c:v>12.949637161919691</c:v>
                </c:pt>
                <c:pt idx="1229">
                  <c:v>13.035212148616235</c:v>
                </c:pt>
                <c:pt idx="1230">
                  <c:v>13.024271061029973</c:v>
                </c:pt>
                <c:pt idx="1231">
                  <c:v>12.876158452217211</c:v>
                </c:pt>
                <c:pt idx="1232">
                  <c:v>12.556620066229872</c:v>
                </c:pt>
                <c:pt idx="1233">
                  <c:v>12.64351774442869</c:v>
                </c:pt>
                <c:pt idx="1234">
                  <c:v>12.683758767819246</c:v>
                </c:pt>
                <c:pt idx="1235">
                  <c:v>12.28646313889819</c:v>
                </c:pt>
                <c:pt idx="1236">
                  <c:v>12.133955033279749</c:v>
                </c:pt>
                <c:pt idx="1237">
                  <c:v>11.869459255623829</c:v>
                </c:pt>
                <c:pt idx="1238">
                  <c:v>11.300894523524066</c:v>
                </c:pt>
                <c:pt idx="1239">
                  <c:v>10.789029375348072</c:v>
                </c:pt>
                <c:pt idx="1240">
                  <c:v>10.938696436600823</c:v>
                </c:pt>
                <c:pt idx="1241">
                  <c:v>10.421349191998299</c:v>
                </c:pt>
                <c:pt idx="1242">
                  <c:v>10.566576716558881</c:v>
                </c:pt>
                <c:pt idx="1243">
                  <c:v>10.673389861626905</c:v>
                </c:pt>
                <c:pt idx="1244">
                  <c:v>11.136637419311414</c:v>
                </c:pt>
                <c:pt idx="1245">
                  <c:v>11.035265217093475</c:v>
                </c:pt>
                <c:pt idx="1246">
                  <c:v>11.476104266477739</c:v>
                </c:pt>
                <c:pt idx="1247">
                  <c:v>11.192776015164544</c:v>
                </c:pt>
                <c:pt idx="1248">
                  <c:v>10.977873962680045</c:v>
                </c:pt>
                <c:pt idx="1249">
                  <c:v>10.826602632044787</c:v>
                </c:pt>
                <c:pt idx="1250">
                  <c:v>10.823877829676032</c:v>
                </c:pt>
                <c:pt idx="1251">
                  <c:v>10.723166250892397</c:v>
                </c:pt>
                <c:pt idx="1252">
                  <c:v>11.013383763498464</c:v>
                </c:pt>
                <c:pt idx="1253">
                  <c:v>11.159309455703594</c:v>
                </c:pt>
                <c:pt idx="1254">
                  <c:v>11.172973902503585</c:v>
                </c:pt>
                <c:pt idx="1255">
                  <c:v>11.184961880767915</c:v>
                </c:pt>
                <c:pt idx="1256">
                  <c:v>10.943283982444157</c:v>
                </c:pt>
                <c:pt idx="1257">
                  <c:v>10.761736581324669</c:v>
                </c:pt>
                <c:pt idx="1258">
                  <c:v>10.671994247915318</c:v>
                </c:pt>
                <c:pt idx="1259">
                  <c:v>10.710005755009487</c:v>
                </c:pt>
                <c:pt idx="1260">
                  <c:v>10.749264145086576</c:v>
                </c:pt>
                <c:pt idx="1261">
                  <c:v>10.534845107420818</c:v>
                </c:pt>
                <c:pt idx="1262">
                  <c:v>10.575696937303164</c:v>
                </c:pt>
                <c:pt idx="1263">
                  <c:v>10.250659849734671</c:v>
                </c:pt>
                <c:pt idx="1264">
                  <c:v>9.8189475182495798</c:v>
                </c:pt>
                <c:pt idx="1265">
                  <c:v>10.759789364486023</c:v>
                </c:pt>
                <c:pt idx="1266">
                  <c:v>10.650431193354628</c:v>
                </c:pt>
                <c:pt idx="1267">
                  <c:v>10.674048318850033</c:v>
                </c:pt>
                <c:pt idx="1268">
                  <c:v>10.633152447602551</c:v>
                </c:pt>
                <c:pt idx="1269">
                  <c:v>11.106954105530686</c:v>
                </c:pt>
                <c:pt idx="1270">
                  <c:v>10.876344366367368</c:v>
                </c:pt>
                <c:pt idx="1271">
                  <c:v>10.827406933686538</c:v>
                </c:pt>
                <c:pt idx="1272">
                  <c:v>10.757354081786055</c:v>
                </c:pt>
                <c:pt idx="1273">
                  <c:v>10.703843542205341</c:v>
                </c:pt>
                <c:pt idx="1274">
                  <c:v>10.779434083052246</c:v>
                </c:pt>
                <c:pt idx="1275">
                  <c:v>10.820690950065515</c:v>
                </c:pt>
                <c:pt idx="1276">
                  <c:v>10.975449509557322</c:v>
                </c:pt>
                <c:pt idx="1277">
                  <c:v>10.783732109226793</c:v>
                </c:pt>
                <c:pt idx="1278">
                  <c:v>10.63676097097726</c:v>
                </c:pt>
                <c:pt idx="1279">
                  <c:v>10.646483333368623</c:v>
                </c:pt>
                <c:pt idx="1280">
                  <c:v>10.329012737160577</c:v>
                </c:pt>
                <c:pt idx="1281">
                  <c:v>10.860457623482036</c:v>
                </c:pt>
                <c:pt idx="1282">
                  <c:v>10.95771157583081</c:v>
                </c:pt>
                <c:pt idx="1283">
                  <c:v>10.9586884335669</c:v>
                </c:pt>
                <c:pt idx="1284">
                  <c:v>11.487897306437086</c:v>
                </c:pt>
                <c:pt idx="1285">
                  <c:v>12.071182040859618</c:v>
                </c:pt>
                <c:pt idx="1286">
                  <c:v>11.947228051190944</c:v>
                </c:pt>
                <c:pt idx="1287">
                  <c:v>11.650329211385408</c:v>
                </c:pt>
                <c:pt idx="1288">
                  <c:v>12.075413643458386</c:v>
                </c:pt>
                <c:pt idx="1289">
                  <c:v>11.884644221498412</c:v>
                </c:pt>
                <c:pt idx="1290">
                  <c:v>12.113769542642363</c:v>
                </c:pt>
                <c:pt idx="1291">
                  <c:v>12.042351401029491</c:v>
                </c:pt>
                <c:pt idx="1292">
                  <c:v>13.053107476437486</c:v>
                </c:pt>
                <c:pt idx="1293">
                  <c:v>13.022419870188802</c:v>
                </c:pt>
                <c:pt idx="1294">
                  <c:v>12.899360431103323</c:v>
                </c:pt>
                <c:pt idx="1295">
                  <c:v>13.202854680110596</c:v>
                </c:pt>
                <c:pt idx="1296">
                  <c:v>13.223216337687166</c:v>
                </c:pt>
                <c:pt idx="1297">
                  <c:v>12.873423540370087</c:v>
                </c:pt>
                <c:pt idx="1298">
                  <c:v>12.801557763416183</c:v>
                </c:pt>
                <c:pt idx="1299">
                  <c:v>12.932050846710545</c:v>
                </c:pt>
                <c:pt idx="1300">
                  <c:v>12.835911653249283</c:v>
                </c:pt>
                <c:pt idx="1301">
                  <c:v>12.43023079238259</c:v>
                </c:pt>
                <c:pt idx="1302">
                  <c:v>12.487777996257089</c:v>
                </c:pt>
                <c:pt idx="1303">
                  <c:v>12.373054692273611</c:v>
                </c:pt>
                <c:pt idx="1304">
                  <c:v>12.711637819912626</c:v>
                </c:pt>
                <c:pt idx="1305">
                  <c:v>13.174437020678589</c:v>
                </c:pt>
                <c:pt idx="1306">
                  <c:v>13.838008140521096</c:v>
                </c:pt>
                <c:pt idx="1307">
                  <c:v>13.775964361322222</c:v>
                </c:pt>
                <c:pt idx="1308">
                  <c:v>14.060400872889398</c:v>
                </c:pt>
                <c:pt idx="1309">
                  <c:v>13.826089473621234</c:v>
                </c:pt>
                <c:pt idx="1310">
                  <c:v>13.888703627312966</c:v>
                </c:pt>
                <c:pt idx="1311">
                  <c:v>13.816975028454332</c:v>
                </c:pt>
                <c:pt idx="1312">
                  <c:v>13.741795301794371</c:v>
                </c:pt>
                <c:pt idx="1313">
                  <c:v>13.575361388973816</c:v>
                </c:pt>
                <c:pt idx="1314">
                  <c:v>14.214816484925064</c:v>
                </c:pt>
                <c:pt idx="1315">
                  <c:v>14.386897831534078</c:v>
                </c:pt>
                <c:pt idx="1316">
                  <c:v>14.484697609953891</c:v>
                </c:pt>
                <c:pt idx="1317">
                  <c:v>14.586983857176982</c:v>
                </c:pt>
                <c:pt idx="1318">
                  <c:v>14.958943293856859</c:v>
                </c:pt>
                <c:pt idx="1319">
                  <c:v>14.574403843786664</c:v>
                </c:pt>
                <c:pt idx="1320">
                  <c:v>15.094331492451628</c:v>
                </c:pt>
                <c:pt idx="1321">
                  <c:v>15.268542719993361</c:v>
                </c:pt>
                <c:pt idx="1322">
                  <c:v>15.10341561361933</c:v>
                </c:pt>
                <c:pt idx="1323">
                  <c:v>15.247932696324449</c:v>
                </c:pt>
                <c:pt idx="1324">
                  <c:v>14.622923243548147</c:v>
                </c:pt>
                <c:pt idx="1325">
                  <c:v>14.689475149226148</c:v>
                </c:pt>
                <c:pt idx="1326">
                  <c:v>14.328256084771532</c:v>
                </c:pt>
                <c:pt idx="1327">
                  <c:v>14.996385871091835</c:v>
                </c:pt>
                <c:pt idx="1328">
                  <c:v>14.244334462822495</c:v>
                </c:pt>
                <c:pt idx="1329">
                  <c:v>14.207499804290622</c:v>
                </c:pt>
                <c:pt idx="1330">
                  <c:v>14.322783374767226</c:v>
                </c:pt>
                <c:pt idx="1331">
                  <c:v>14.288390499047496</c:v>
                </c:pt>
                <c:pt idx="1332">
                  <c:v>14.674810019324404</c:v>
                </c:pt>
                <c:pt idx="1333">
                  <c:v>14.269158039301887</c:v>
                </c:pt>
                <c:pt idx="1334">
                  <c:v>13.813041608890417</c:v>
                </c:pt>
                <c:pt idx="1335">
                  <c:v>13.042398871366457</c:v>
                </c:pt>
                <c:pt idx="1336">
                  <c:v>12.989125868300833</c:v>
                </c:pt>
                <c:pt idx="1337">
                  <c:v>12.823460154588171</c:v>
                </c:pt>
                <c:pt idx="1338">
                  <c:v>12.715598675687053</c:v>
                </c:pt>
                <c:pt idx="1339">
                  <c:v>12.660808042814173</c:v>
                </c:pt>
                <c:pt idx="1340">
                  <c:v>13.115070393117133</c:v>
                </c:pt>
                <c:pt idx="1341">
                  <c:v>12.993993547390726</c:v>
                </c:pt>
                <c:pt idx="1342">
                  <c:v>12.945878464661297</c:v>
                </c:pt>
                <c:pt idx="1343">
                  <c:v>13.424243841588451</c:v>
                </c:pt>
                <c:pt idx="1344">
                  <c:v>13.488983543790546</c:v>
                </c:pt>
                <c:pt idx="1345">
                  <c:v>13.174636291405927</c:v>
                </c:pt>
                <c:pt idx="1346">
                  <c:v>11.989004754177051</c:v>
                </c:pt>
                <c:pt idx="1347">
                  <c:v>11.716237098783733</c:v>
                </c:pt>
                <c:pt idx="1348">
                  <c:v>11.695661731536379</c:v>
                </c:pt>
                <c:pt idx="1349">
                  <c:v>11.698176435079192</c:v>
                </c:pt>
                <c:pt idx="1350">
                  <c:v>7.35001823410109</c:v>
                </c:pt>
                <c:pt idx="1351">
                  <c:v>8.226733350838412</c:v>
                </c:pt>
                <c:pt idx="1352">
                  <c:v>7.6894821934787254</c:v>
                </c:pt>
                <c:pt idx="1353">
                  <c:v>7.9733057323429311</c:v>
                </c:pt>
                <c:pt idx="1354">
                  <c:v>7.4146229229404481</c:v>
                </c:pt>
                <c:pt idx="1355">
                  <c:v>7.7268374095609458</c:v>
                </c:pt>
                <c:pt idx="1356">
                  <c:v>7.7457774618490838</c:v>
                </c:pt>
                <c:pt idx="1357">
                  <c:v>9.1545605456105701</c:v>
                </c:pt>
                <c:pt idx="1358">
                  <c:v>9.1657767124435274</c:v>
                </c:pt>
                <c:pt idx="1359">
                  <c:v>9.145501694442201</c:v>
                </c:pt>
                <c:pt idx="1360">
                  <c:v>8.620862317627056</c:v>
                </c:pt>
                <c:pt idx="1361">
                  <c:v>9.4874355929413596</c:v>
                </c:pt>
                <c:pt idx="1362">
                  <c:v>9.9583666055607587</c:v>
                </c:pt>
                <c:pt idx="1363">
                  <c:v>9.8789032916696957</c:v>
                </c:pt>
                <c:pt idx="1364">
                  <c:v>9.9312138788999587</c:v>
                </c:pt>
                <c:pt idx="1365">
                  <c:v>9.5665184166446817</c:v>
                </c:pt>
                <c:pt idx="1366">
                  <c:v>9.2299727547857593</c:v>
                </c:pt>
                <c:pt idx="1367">
                  <c:v>8.7565840772557451</c:v>
                </c:pt>
                <c:pt idx="1368">
                  <c:v>9.5074369763296573</c:v>
                </c:pt>
                <c:pt idx="1369">
                  <c:v>9.5204530724276122</c:v>
                </c:pt>
                <c:pt idx="1370">
                  <c:v>9.7690599409870256</c:v>
                </c:pt>
                <c:pt idx="1371">
                  <c:v>10.04534153839125</c:v>
                </c:pt>
                <c:pt idx="1372">
                  <c:v>9.9562721026271142</c:v>
                </c:pt>
                <c:pt idx="1373">
                  <c:v>10.154617402369755</c:v>
                </c:pt>
                <c:pt idx="1374">
                  <c:v>10.041652152497317</c:v>
                </c:pt>
                <c:pt idx="1375">
                  <c:v>10.752364385121856</c:v>
                </c:pt>
                <c:pt idx="1376">
                  <c:v>10.611351136427908</c:v>
                </c:pt>
                <c:pt idx="1377">
                  <c:v>10.844509512499442</c:v>
                </c:pt>
                <c:pt idx="1378">
                  <c:v>10.797179235511166</c:v>
                </c:pt>
                <c:pt idx="1379">
                  <c:v>10.151609577487109</c:v>
                </c:pt>
                <c:pt idx="1380">
                  <c:v>10.142131248765727</c:v>
                </c:pt>
                <c:pt idx="1381">
                  <c:v>10.307752198057104</c:v>
                </c:pt>
                <c:pt idx="1382">
                  <c:v>10.121363109424568</c:v>
                </c:pt>
                <c:pt idx="1383">
                  <c:v>10.117504053746345</c:v>
                </c:pt>
                <c:pt idx="1384">
                  <c:v>9.8213055477965359</c:v>
                </c:pt>
                <c:pt idx="1385">
                  <c:v>10.52320873997871</c:v>
                </c:pt>
                <c:pt idx="1386">
                  <c:v>10.486961152770149</c:v>
                </c:pt>
                <c:pt idx="1387">
                  <c:v>10.731491556417165</c:v>
                </c:pt>
                <c:pt idx="1388">
                  <c:v>10.63058865017339</c:v>
                </c:pt>
                <c:pt idx="1389">
                  <c:v>10.175955916203778</c:v>
                </c:pt>
                <c:pt idx="1390">
                  <c:v>10.173537960235944</c:v>
                </c:pt>
                <c:pt idx="1391">
                  <c:v>10.523805107527057</c:v>
                </c:pt>
                <c:pt idx="1392">
                  <c:v>10.985906139169828</c:v>
                </c:pt>
                <c:pt idx="1393">
                  <c:v>11.165082514953946</c:v>
                </c:pt>
                <c:pt idx="1394">
                  <c:v>11.193228704505458</c:v>
                </c:pt>
                <c:pt idx="1395">
                  <c:v>11.355777573028227</c:v>
                </c:pt>
                <c:pt idx="1396">
                  <c:v>11.526906608844335</c:v>
                </c:pt>
                <c:pt idx="1397">
                  <c:v>11.543848184196293</c:v>
                </c:pt>
                <c:pt idx="1398">
                  <c:v>13.013588447535804</c:v>
                </c:pt>
                <c:pt idx="1399">
                  <c:v>12.802905003340292</c:v>
                </c:pt>
                <c:pt idx="1400">
                  <c:v>13.107820136058486</c:v>
                </c:pt>
                <c:pt idx="1401">
                  <c:v>13.290920544984299</c:v>
                </c:pt>
                <c:pt idx="1402">
                  <c:v>13.156174920035545</c:v>
                </c:pt>
                <c:pt idx="1403">
                  <c:v>13.178628914334588</c:v>
                </c:pt>
                <c:pt idx="1404">
                  <c:v>13.312321873027896</c:v>
                </c:pt>
                <c:pt idx="1405">
                  <c:v>13.705184462411665</c:v>
                </c:pt>
                <c:pt idx="1406">
                  <c:v>14.714737697680519</c:v>
                </c:pt>
                <c:pt idx="1407">
                  <c:v>14.553783713596673</c:v>
                </c:pt>
                <c:pt idx="1408">
                  <c:v>14.185942525307322</c:v>
                </c:pt>
                <c:pt idx="1409">
                  <c:v>12.947630020138813</c:v>
                </c:pt>
                <c:pt idx="1410">
                  <c:v>12.718980492123922</c:v>
                </c:pt>
                <c:pt idx="1411">
                  <c:v>13.018674168718835</c:v>
                </c:pt>
                <c:pt idx="1412">
                  <c:v>13.706996665887575</c:v>
                </c:pt>
                <c:pt idx="1413">
                  <c:v>14.392693994572586</c:v>
                </c:pt>
                <c:pt idx="1414">
                  <c:v>13.793068384768794</c:v>
                </c:pt>
                <c:pt idx="1415">
                  <c:v>13.865250394545843</c:v>
                </c:pt>
                <c:pt idx="1416">
                  <c:v>14.299565512304021</c:v>
                </c:pt>
                <c:pt idx="1417">
                  <c:v>14.382126898540536</c:v>
                </c:pt>
                <c:pt idx="1418">
                  <c:v>14.385768633703135</c:v>
                </c:pt>
                <c:pt idx="1419">
                  <c:v>14.0810845388665</c:v>
                </c:pt>
                <c:pt idx="1420">
                  <c:v>13.428678325759414</c:v>
                </c:pt>
                <c:pt idx="1421">
                  <c:v>13.577748297886309</c:v>
                </c:pt>
                <c:pt idx="1422">
                  <c:v>13.617242779844824</c:v>
                </c:pt>
                <c:pt idx="1423">
                  <c:v>12.997811448013874</c:v>
                </c:pt>
                <c:pt idx="1424">
                  <c:v>13.170171483235789</c:v>
                </c:pt>
                <c:pt idx="1425">
                  <c:v>13.06388394971798</c:v>
                </c:pt>
                <c:pt idx="1426">
                  <c:v>13.575442251493056</c:v>
                </c:pt>
                <c:pt idx="1427">
                  <c:v>14.085179686426155</c:v>
                </c:pt>
                <c:pt idx="1428">
                  <c:v>13.957089395621384</c:v>
                </c:pt>
                <c:pt idx="1429">
                  <c:v>14.34344393843482</c:v>
                </c:pt>
                <c:pt idx="1430">
                  <c:v>13.989522783248843</c:v>
                </c:pt>
                <c:pt idx="1431">
                  <c:v>15.03375480454001</c:v>
                </c:pt>
                <c:pt idx="1432">
                  <c:v>14.091172230924657</c:v>
                </c:pt>
                <c:pt idx="1433">
                  <c:v>14.278832749483293</c:v>
                </c:pt>
                <c:pt idx="1434">
                  <c:v>14.491637411245453</c:v>
                </c:pt>
                <c:pt idx="1435">
                  <c:v>14.291867618425689</c:v>
                </c:pt>
                <c:pt idx="1436">
                  <c:v>14.274340508059915</c:v>
                </c:pt>
                <c:pt idx="1437">
                  <c:v>14.429853549293671</c:v>
                </c:pt>
                <c:pt idx="1438">
                  <c:v>14.448538738334582</c:v>
                </c:pt>
                <c:pt idx="1439">
                  <c:v>14.484338057343143</c:v>
                </c:pt>
                <c:pt idx="1440">
                  <c:v>14.594340969810377</c:v>
                </c:pt>
                <c:pt idx="1441">
                  <c:v>13.783581391202709</c:v>
                </c:pt>
                <c:pt idx="1442">
                  <c:v>14.018777954631847</c:v>
                </c:pt>
                <c:pt idx="1443">
                  <c:v>14.010547230470896</c:v>
                </c:pt>
                <c:pt idx="1444">
                  <c:v>13.879703257931837</c:v>
                </c:pt>
                <c:pt idx="1445">
                  <c:v>13.974209302645059</c:v>
                </c:pt>
                <c:pt idx="1446">
                  <c:v>14.103327711283457</c:v>
                </c:pt>
                <c:pt idx="1447">
                  <c:v>14.017907230892963</c:v>
                </c:pt>
                <c:pt idx="1448">
                  <c:v>13.91674729371214</c:v>
                </c:pt>
                <c:pt idx="1449">
                  <c:v>13.733658437419727</c:v>
                </c:pt>
                <c:pt idx="1450">
                  <c:v>13.799195219573882</c:v>
                </c:pt>
                <c:pt idx="1451">
                  <c:v>13.756742009576362</c:v>
                </c:pt>
                <c:pt idx="1452">
                  <c:v>14.267003609947364</c:v>
                </c:pt>
                <c:pt idx="1453">
                  <c:v>14.238821320819275</c:v>
                </c:pt>
                <c:pt idx="1454">
                  <c:v>13.771499554630735</c:v>
                </c:pt>
                <c:pt idx="1455">
                  <c:v>13.699346424219222</c:v>
                </c:pt>
                <c:pt idx="1456">
                  <c:v>13.548679401442223</c:v>
                </c:pt>
                <c:pt idx="1457">
                  <c:v>13.374898482509387</c:v>
                </c:pt>
                <c:pt idx="1458">
                  <c:v>13.520088462859723</c:v>
                </c:pt>
                <c:pt idx="1459">
                  <c:v>13.589987530031673</c:v>
                </c:pt>
                <c:pt idx="1460">
                  <c:v>13.511824526910884</c:v>
                </c:pt>
                <c:pt idx="1461">
                  <c:v>13.6453933018187</c:v>
                </c:pt>
                <c:pt idx="1462">
                  <c:v>13.490261472350197</c:v>
                </c:pt>
                <c:pt idx="1463">
                  <c:v>13.436872950343796</c:v>
                </c:pt>
                <c:pt idx="1464">
                  <c:v>13.503684773268892</c:v>
                </c:pt>
                <c:pt idx="1465">
                  <c:v>13.417116323681636</c:v>
                </c:pt>
                <c:pt idx="1466">
                  <c:v>13.862974670673157</c:v>
                </c:pt>
                <c:pt idx="1467">
                  <c:v>13.680809965906986</c:v>
                </c:pt>
                <c:pt idx="1468">
                  <c:v>13.941133342850231</c:v>
                </c:pt>
                <c:pt idx="1469">
                  <c:v>13.718796924579333</c:v>
                </c:pt>
                <c:pt idx="1470">
                  <c:v>13.720038753562386</c:v>
                </c:pt>
                <c:pt idx="1471">
                  <c:v>13.663168779755459</c:v>
                </c:pt>
                <c:pt idx="1472">
                  <c:v>13.716626613126328</c:v>
                </c:pt>
                <c:pt idx="1473">
                  <c:v>13.668000359268774</c:v>
                </c:pt>
                <c:pt idx="1474">
                  <c:v>13.667408324142784</c:v>
                </c:pt>
                <c:pt idx="1475">
                  <c:v>13.592918823338813</c:v>
                </c:pt>
                <c:pt idx="1476">
                  <c:v>13.503299229081286</c:v>
                </c:pt>
                <c:pt idx="1477">
                  <c:v>13.531637469149095</c:v>
                </c:pt>
                <c:pt idx="1478">
                  <c:v>13.542945329557162</c:v>
                </c:pt>
                <c:pt idx="1479">
                  <c:v>13.582539446879347</c:v>
                </c:pt>
                <c:pt idx="1480">
                  <c:v>13.550621562802368</c:v>
                </c:pt>
                <c:pt idx="1481">
                  <c:v>13.862106834722962</c:v>
                </c:pt>
                <c:pt idx="1482">
                  <c:v>14.084606422665976</c:v>
                </c:pt>
                <c:pt idx="1483">
                  <c:v>14.166980092287195</c:v>
                </c:pt>
                <c:pt idx="1484">
                  <c:v>14.101654130536492</c:v>
                </c:pt>
                <c:pt idx="1485">
                  <c:v>14.308990413238059</c:v>
                </c:pt>
                <c:pt idx="1486">
                  <c:v>14.64620030937613</c:v>
                </c:pt>
                <c:pt idx="1487">
                  <c:v>16.251571361825373</c:v>
                </c:pt>
                <c:pt idx="1488">
                  <c:v>16.136163607563279</c:v>
                </c:pt>
                <c:pt idx="1489">
                  <c:v>16.41362277510731</c:v>
                </c:pt>
                <c:pt idx="1490">
                  <c:v>16.429512405781331</c:v>
                </c:pt>
                <c:pt idx="1491">
                  <c:v>16.743358596516199</c:v>
                </c:pt>
                <c:pt idx="1492">
                  <c:v>17.388232974684399</c:v>
                </c:pt>
                <c:pt idx="1493">
                  <c:v>16.34434317927186</c:v>
                </c:pt>
                <c:pt idx="1494">
                  <c:v>16.629328406177404</c:v>
                </c:pt>
                <c:pt idx="1495">
                  <c:v>16.569508366218898</c:v>
                </c:pt>
                <c:pt idx="1496">
                  <c:v>17.369645977852137</c:v>
                </c:pt>
                <c:pt idx="1497">
                  <c:v>17.418072962460997</c:v>
                </c:pt>
                <c:pt idx="1498">
                  <c:v>17.154429858755673</c:v>
                </c:pt>
                <c:pt idx="1499">
                  <c:v>17.380031129888984</c:v>
                </c:pt>
                <c:pt idx="1500">
                  <c:v>17.264243608495299</c:v>
                </c:pt>
                <c:pt idx="1501">
                  <c:v>17.563479540270805</c:v>
                </c:pt>
                <c:pt idx="1502">
                  <c:v>16.872087128544631</c:v>
                </c:pt>
                <c:pt idx="1503">
                  <c:v>17.129975942886777</c:v>
                </c:pt>
                <c:pt idx="1504">
                  <c:v>17.424526138088947</c:v>
                </c:pt>
                <c:pt idx="1505">
                  <c:v>17.40195229390541</c:v>
                </c:pt>
                <c:pt idx="1506">
                  <c:v>17.545125024475123</c:v>
                </c:pt>
                <c:pt idx="1507">
                  <c:v>17.585204321348588</c:v>
                </c:pt>
                <c:pt idx="1508">
                  <c:v>18.119879407068193</c:v>
                </c:pt>
                <c:pt idx="1509">
                  <c:v>17.730746634098647</c:v>
                </c:pt>
                <c:pt idx="1510">
                  <c:v>17.386296588901647</c:v>
                </c:pt>
                <c:pt idx="1511">
                  <c:v>17.563865084458417</c:v>
                </c:pt>
                <c:pt idx="1512">
                  <c:v>17.141146625199582</c:v>
                </c:pt>
                <c:pt idx="1513">
                  <c:v>17.273242533242787</c:v>
                </c:pt>
                <c:pt idx="1514">
                  <c:v>17.248138823516836</c:v>
                </c:pt>
                <c:pt idx="1515">
                  <c:v>17.410416943736621</c:v>
                </c:pt>
                <c:pt idx="1516">
                  <c:v>16.806449266393145</c:v>
                </c:pt>
                <c:pt idx="1517">
                  <c:v>16.987181536293637</c:v>
                </c:pt>
                <c:pt idx="1518">
                  <c:v>16.743256073363849</c:v>
                </c:pt>
                <c:pt idx="1519">
                  <c:v>17.067230386677164</c:v>
                </c:pt>
                <c:pt idx="1520">
                  <c:v>17.01453930925916</c:v>
                </c:pt>
                <c:pt idx="1521">
                  <c:v>17.317129622739653</c:v>
                </c:pt>
                <c:pt idx="1522">
                  <c:v>17.271756672068395</c:v>
                </c:pt>
                <c:pt idx="1523">
                  <c:v>17.700057584694939</c:v>
                </c:pt>
                <c:pt idx="1524">
                  <c:v>16.877275372880032</c:v>
                </c:pt>
                <c:pt idx="1525">
                  <c:v>15.149130790169252</c:v>
                </c:pt>
                <c:pt idx="1526">
                  <c:v>15.543213549381584</c:v>
                </c:pt>
                <c:pt idx="1527">
                  <c:v>15.037153949187658</c:v>
                </c:pt>
                <c:pt idx="1528">
                  <c:v>15.20096413963679</c:v>
                </c:pt>
                <c:pt idx="1529">
                  <c:v>15.33287666200841</c:v>
                </c:pt>
                <c:pt idx="1530">
                  <c:v>14.980890449450165</c:v>
                </c:pt>
                <c:pt idx="1531">
                  <c:v>15.144769949785124</c:v>
                </c:pt>
                <c:pt idx="1532">
                  <c:v>15.323376672653895</c:v>
                </c:pt>
                <c:pt idx="1533">
                  <c:v>15.37923441220431</c:v>
                </c:pt>
                <c:pt idx="1534">
                  <c:v>15.440237076302493</c:v>
                </c:pt>
                <c:pt idx="1535">
                  <c:v>15.265143573867114</c:v>
                </c:pt>
                <c:pt idx="1536">
                  <c:v>15.793140221654577</c:v>
                </c:pt>
                <c:pt idx="1537">
                  <c:v>15.964830247019965</c:v>
                </c:pt>
                <c:pt idx="1538">
                  <c:v>16.227960733484856</c:v>
                </c:pt>
                <c:pt idx="1539">
                  <c:v>16.189641656933613</c:v>
                </c:pt>
                <c:pt idx="1540">
                  <c:v>16.183129277940921</c:v>
                </c:pt>
                <c:pt idx="1541">
                  <c:v>16.404571867206137</c:v>
                </c:pt>
                <c:pt idx="1542">
                  <c:v>16.173792458258525</c:v>
                </c:pt>
                <c:pt idx="1543">
                  <c:v>15.469941329138834</c:v>
                </c:pt>
                <c:pt idx="1544">
                  <c:v>15.582614171553798</c:v>
                </c:pt>
                <c:pt idx="1545">
                  <c:v>15.120396897914091</c:v>
                </c:pt>
                <c:pt idx="1546">
                  <c:v>15.888824559563758</c:v>
                </c:pt>
                <c:pt idx="1547">
                  <c:v>15.824860278159237</c:v>
                </c:pt>
                <c:pt idx="1548">
                  <c:v>15.901967727235892</c:v>
                </c:pt>
                <c:pt idx="1549">
                  <c:v>15.931524692498593</c:v>
                </c:pt>
                <c:pt idx="1550">
                  <c:v>15.853009355499443</c:v>
                </c:pt>
                <c:pt idx="1551">
                  <c:v>16.041540599275606</c:v>
                </c:pt>
                <c:pt idx="1552">
                  <c:v>15.951030065279722</c:v>
                </c:pt>
                <c:pt idx="1553">
                  <c:v>15.708106728606714</c:v>
                </c:pt>
                <c:pt idx="1554">
                  <c:v>15.651672838986061</c:v>
                </c:pt>
                <c:pt idx="1555">
                  <c:v>15.622586612852547</c:v>
                </c:pt>
                <c:pt idx="1556">
                  <c:v>15.798449760508126</c:v>
                </c:pt>
                <c:pt idx="1557">
                  <c:v>15.975254387900721</c:v>
                </c:pt>
                <c:pt idx="1558">
                  <c:v>15.70564328811872</c:v>
                </c:pt>
                <c:pt idx="1559">
                  <c:v>15.790624796534248</c:v>
                </c:pt>
                <c:pt idx="1560">
                  <c:v>16.152139877812541</c:v>
                </c:pt>
                <c:pt idx="1561">
                  <c:v>16.352518359708117</c:v>
                </c:pt>
                <c:pt idx="1562">
                  <c:v>16.703279299642737</c:v>
                </c:pt>
                <c:pt idx="1563">
                  <c:v>16.83313414171344</c:v>
                </c:pt>
                <c:pt idx="1564">
                  <c:v>17.076427542666337</c:v>
                </c:pt>
                <c:pt idx="1565">
                  <c:v>16.899478401633317</c:v>
                </c:pt>
                <c:pt idx="1566">
                  <c:v>16.900153898731947</c:v>
                </c:pt>
                <c:pt idx="1567">
                  <c:v>16.997511817388105</c:v>
                </c:pt>
                <c:pt idx="1568">
                  <c:v>16.741371670734779</c:v>
                </c:pt>
                <c:pt idx="1569">
                  <c:v>16.794571031492218</c:v>
                </c:pt>
                <c:pt idx="1570">
                  <c:v>16.979782548506307</c:v>
                </c:pt>
                <c:pt idx="1571">
                  <c:v>17.362274424796681</c:v>
                </c:pt>
                <c:pt idx="1572">
                  <c:v>17.619998626311688</c:v>
                </c:pt>
                <c:pt idx="1573">
                  <c:v>18.961651488113763</c:v>
                </c:pt>
                <c:pt idx="1574">
                  <c:v>19.171917620967442</c:v>
                </c:pt>
                <c:pt idx="1575">
                  <c:v>19.121122498811904</c:v>
                </c:pt>
                <c:pt idx="1576">
                  <c:v>19.382137544766167</c:v>
                </c:pt>
                <c:pt idx="1577">
                  <c:v>19.268446691038669</c:v>
                </c:pt>
                <c:pt idx="1578">
                  <c:v>19.333616701849657</c:v>
                </c:pt>
                <c:pt idx="1579">
                  <c:v>20.189707355974623</c:v>
                </c:pt>
                <c:pt idx="1580">
                  <c:v>19.623485491422205</c:v>
                </c:pt>
                <c:pt idx="1581">
                  <c:v>19.869823857798607</c:v>
                </c:pt>
                <c:pt idx="1582">
                  <c:v>20.030463052214333</c:v>
                </c:pt>
                <c:pt idx="1583">
                  <c:v>20.37716427286221</c:v>
                </c:pt>
                <c:pt idx="1584">
                  <c:v>20.312272952142756</c:v>
                </c:pt>
                <c:pt idx="1585">
                  <c:v>20.036328526617293</c:v>
                </c:pt>
                <c:pt idx="1586">
                  <c:v>20.627506813322015</c:v>
                </c:pt>
                <c:pt idx="1587">
                  <c:v>20.898699078698364</c:v>
                </c:pt>
                <c:pt idx="1588">
                  <c:v>23.037025428543927</c:v>
                </c:pt>
                <c:pt idx="1589">
                  <c:v>23.016372085087394</c:v>
                </c:pt>
                <c:pt idx="1590">
                  <c:v>21.933818099456293</c:v>
                </c:pt>
                <c:pt idx="1591">
                  <c:v>22.888745316158047</c:v>
                </c:pt>
                <c:pt idx="1592">
                  <c:v>22.671012328786237</c:v>
                </c:pt>
                <c:pt idx="1593">
                  <c:v>22.609777182172827</c:v>
                </c:pt>
                <c:pt idx="1594">
                  <c:v>23.216667489457368</c:v>
                </c:pt>
                <c:pt idx="1595">
                  <c:v>24.066892669179374</c:v>
                </c:pt>
                <c:pt idx="1596">
                  <c:v>24.128204347368293</c:v>
                </c:pt>
                <c:pt idx="1597">
                  <c:v>23.759031804210593</c:v>
                </c:pt>
                <c:pt idx="1598">
                  <c:v>23.592609442544799</c:v>
                </c:pt>
                <c:pt idx="1599">
                  <c:v>24.717151674621604</c:v>
                </c:pt>
                <c:pt idx="1600">
                  <c:v>26.091246587417206</c:v>
                </c:pt>
                <c:pt idx="1601">
                  <c:v>26.325758700567732</c:v>
                </c:pt>
                <c:pt idx="1602">
                  <c:v>26.345105236099098</c:v>
                </c:pt>
                <c:pt idx="1603">
                  <c:v>27.534265875859841</c:v>
                </c:pt>
                <c:pt idx="1604">
                  <c:v>27.56519607262349</c:v>
                </c:pt>
                <c:pt idx="1605">
                  <c:v>27.162664547157064</c:v>
                </c:pt>
                <c:pt idx="1606">
                  <c:v>27.153968859444301</c:v>
                </c:pt>
                <c:pt idx="1607">
                  <c:v>28.253108477182796</c:v>
                </c:pt>
                <c:pt idx="1608">
                  <c:v>27.698109278096865</c:v>
                </c:pt>
                <c:pt idx="1609">
                  <c:v>25.359639143877335</c:v>
                </c:pt>
                <c:pt idx="1610">
                  <c:v>25.297209820490849</c:v>
                </c:pt>
                <c:pt idx="1611">
                  <c:v>26.19772039587394</c:v>
                </c:pt>
                <c:pt idx="1612">
                  <c:v>26.877999885497026</c:v>
                </c:pt>
                <c:pt idx="1613">
                  <c:v>29.019593977472333</c:v>
                </c:pt>
                <c:pt idx="1614">
                  <c:v>27.802910948961649</c:v>
                </c:pt>
                <c:pt idx="1615">
                  <c:v>28.391549263602865</c:v>
                </c:pt>
                <c:pt idx="1616">
                  <c:v>28.75279143184564</c:v>
                </c:pt>
                <c:pt idx="1617">
                  <c:v>27.650267108402957</c:v>
                </c:pt>
                <c:pt idx="1618">
                  <c:v>28.322258115134019</c:v>
                </c:pt>
                <c:pt idx="1619">
                  <c:v>28.604517095037142</c:v>
                </c:pt>
                <c:pt idx="1620">
                  <c:v>28.377559919135027</c:v>
                </c:pt>
                <c:pt idx="1621">
                  <c:v>27.090421889381627</c:v>
                </c:pt>
                <c:pt idx="1622">
                  <c:v>27.434607686387817</c:v>
                </c:pt>
                <c:pt idx="1623">
                  <c:v>27.007392651804608</c:v>
                </c:pt>
                <c:pt idx="1624">
                  <c:v>26.702662349391666</c:v>
                </c:pt>
                <c:pt idx="1625">
                  <c:v>27.803884195852895</c:v>
                </c:pt>
                <c:pt idx="1626">
                  <c:v>28.304739668134317</c:v>
                </c:pt>
                <c:pt idx="1627">
                  <c:v>28.45890546944398</c:v>
                </c:pt>
                <c:pt idx="1628">
                  <c:v>28.710912927284692</c:v>
                </c:pt>
                <c:pt idx="1629">
                  <c:v>31.510754158348224</c:v>
                </c:pt>
                <c:pt idx="1630">
                  <c:v>33.720680590844573</c:v>
                </c:pt>
                <c:pt idx="1631">
                  <c:v>34.212771064048766</c:v>
                </c:pt>
                <c:pt idx="1632">
                  <c:v>35.294946724224658</c:v>
                </c:pt>
                <c:pt idx="1633">
                  <c:v>34.714524694800943</c:v>
                </c:pt>
                <c:pt idx="1634">
                  <c:v>33.717604899231127</c:v>
                </c:pt>
                <c:pt idx="1635">
                  <c:v>35.166596517651435</c:v>
                </c:pt>
                <c:pt idx="1636">
                  <c:v>34.365640165433</c:v>
                </c:pt>
                <c:pt idx="1637">
                  <c:v>35.096981916148401</c:v>
                </c:pt>
                <c:pt idx="1638">
                  <c:v>36.470406819087472</c:v>
                </c:pt>
                <c:pt idx="1639">
                  <c:v>39.090925109849394</c:v>
                </c:pt>
                <c:pt idx="1640">
                  <c:v>38.847330320164829</c:v>
                </c:pt>
                <c:pt idx="1641">
                  <c:v>40.048747520281701</c:v>
                </c:pt>
                <c:pt idx="1642">
                  <c:v>40.45926140381674</c:v>
                </c:pt>
                <c:pt idx="1643">
                  <c:v>42.64545735808808</c:v>
                </c:pt>
                <c:pt idx="1644">
                  <c:v>42.883175122214922</c:v>
                </c:pt>
                <c:pt idx="1645">
                  <c:v>43.433868353337743</c:v>
                </c:pt>
                <c:pt idx="1646">
                  <c:v>47.504741386021188</c:v>
                </c:pt>
                <c:pt idx="1647">
                  <c:v>48.472891189759274</c:v>
                </c:pt>
                <c:pt idx="1648">
                  <c:v>47.275029085229754</c:v>
                </c:pt>
                <c:pt idx="1649">
                  <c:v>50.262649243060025</c:v>
                </c:pt>
                <c:pt idx="1650">
                  <c:v>54.450066446568918</c:v>
                </c:pt>
                <c:pt idx="1651">
                  <c:v>58.215695119401254</c:v>
                </c:pt>
                <c:pt idx="1652">
                  <c:v>60.325076753630924</c:v>
                </c:pt>
                <c:pt idx="1653">
                  <c:v>59.522081492477369</c:v>
                </c:pt>
                <c:pt idx="1654">
                  <c:v>56.715462186639385</c:v>
                </c:pt>
                <c:pt idx="1655">
                  <c:v>52.590367450942267</c:v>
                </c:pt>
                <c:pt idx="1656">
                  <c:v>50.159929800917986</c:v>
                </c:pt>
                <c:pt idx="1657">
                  <c:v>55.177552752450957</c:v>
                </c:pt>
                <c:pt idx="1658">
                  <c:v>57.944046553839165</c:v>
                </c:pt>
                <c:pt idx="1659">
                  <c:v>54.451550866066938</c:v>
                </c:pt>
                <c:pt idx="1660">
                  <c:v>53.494534200431403</c:v>
                </c:pt>
                <c:pt idx="1661">
                  <c:v>52.92250173389705</c:v>
                </c:pt>
                <c:pt idx="1662">
                  <c:v>54.162782393481187</c:v>
                </c:pt>
                <c:pt idx="1663">
                  <c:v>53.334344085990381</c:v>
                </c:pt>
                <c:pt idx="1664">
                  <c:v>52.562411867273397</c:v>
                </c:pt>
                <c:pt idx="1665">
                  <c:v>45.580187169251666</c:v>
                </c:pt>
                <c:pt idx="1666">
                  <c:v>48.803720107943924</c:v>
                </c:pt>
                <c:pt idx="1667">
                  <c:v>47.416577330417496</c:v>
                </c:pt>
                <c:pt idx="1668">
                  <c:v>47.74444607592946</c:v>
                </c:pt>
                <c:pt idx="1669">
                  <c:v>47.858321759962202</c:v>
                </c:pt>
                <c:pt idx="1670">
                  <c:v>48.159161961120219</c:v>
                </c:pt>
                <c:pt idx="1671">
                  <c:v>44.998855427245147</c:v>
                </c:pt>
                <c:pt idx="1672">
                  <c:v>46.798449918723023</c:v>
                </c:pt>
                <c:pt idx="1673">
                  <c:v>50.741665858477923</c:v>
                </c:pt>
                <c:pt idx="1674">
                  <c:v>50.672371822220377</c:v>
                </c:pt>
                <c:pt idx="1675">
                  <c:v>48.964297211206215</c:v>
                </c:pt>
                <c:pt idx="1676">
                  <c:v>49.589491494287763</c:v>
                </c:pt>
                <c:pt idx="1677">
                  <c:v>52.507020535908445</c:v>
                </c:pt>
                <c:pt idx="1678">
                  <c:v>55.40782243342548</c:v>
                </c:pt>
                <c:pt idx="1679">
                  <c:v>54.600449003677021</c:v>
                </c:pt>
                <c:pt idx="1680">
                  <c:v>56.401793607477387</c:v>
                </c:pt>
                <c:pt idx="1681">
                  <c:v>58.060391455415939</c:v>
                </c:pt>
                <c:pt idx="1682">
                  <c:v>57.524279602408292</c:v>
                </c:pt>
                <c:pt idx="1683">
                  <c:v>68.308053588267725</c:v>
                </c:pt>
                <c:pt idx="1684">
                  <c:v>68.728935297107469</c:v>
                </c:pt>
                <c:pt idx="1685">
                  <c:v>66.417932679216847</c:v>
                </c:pt>
                <c:pt idx="1686">
                  <c:v>70.840771708459059</c:v>
                </c:pt>
                <c:pt idx="1687">
                  <c:v>70.242689721518019</c:v>
                </c:pt>
                <c:pt idx="1688">
                  <c:v>69.652214654979076</c:v>
                </c:pt>
                <c:pt idx="1689">
                  <c:v>72.035451267279072</c:v>
                </c:pt>
                <c:pt idx="1690">
                  <c:v>70.893598520817321</c:v>
                </c:pt>
                <c:pt idx="1691">
                  <c:v>72.749017540057721</c:v>
                </c:pt>
                <c:pt idx="1692">
                  <c:v>77.109736260004198</c:v>
                </c:pt>
                <c:pt idx="1693">
                  <c:v>76.415941052831158</c:v>
                </c:pt>
                <c:pt idx="1694">
                  <c:v>82.638565180912522</c:v>
                </c:pt>
                <c:pt idx="1695">
                  <c:v>82.951130553820448</c:v>
                </c:pt>
                <c:pt idx="1696">
                  <c:v>85.081005249623232</c:v>
                </c:pt>
                <c:pt idx="1697">
                  <c:v>80.153244481384121</c:v>
                </c:pt>
                <c:pt idx="1698">
                  <c:v>72.193868165609487</c:v>
                </c:pt>
                <c:pt idx="1699">
                  <c:v>73.496413534274325</c:v>
                </c:pt>
                <c:pt idx="1700">
                  <c:v>69.634967677859905</c:v>
                </c:pt>
                <c:pt idx="1701">
                  <c:v>68.519938429447393</c:v>
                </c:pt>
                <c:pt idx="1702">
                  <c:v>68.296207120521061</c:v>
                </c:pt>
                <c:pt idx="1703">
                  <c:v>66.742621765329375</c:v>
                </c:pt>
                <c:pt idx="1704">
                  <c:v>73.386861147894109</c:v>
                </c:pt>
                <c:pt idx="1705">
                  <c:v>71.535225372855294</c:v>
                </c:pt>
                <c:pt idx="1706">
                  <c:v>74.727989842779635</c:v>
                </c:pt>
                <c:pt idx="1707">
                  <c:v>71.804603991600715</c:v>
                </c:pt>
                <c:pt idx="1708">
                  <c:v>72.345989283885316</c:v>
                </c:pt>
                <c:pt idx="1709">
                  <c:v>72.323925166196233</c:v>
                </c:pt>
                <c:pt idx="1710">
                  <c:v>75.716387226829895</c:v>
                </c:pt>
                <c:pt idx="1711">
                  <c:v>77.253927001886481</c:v>
                </c:pt>
                <c:pt idx="1712">
                  <c:v>81.065266518846343</c:v>
                </c:pt>
                <c:pt idx="1713">
                  <c:v>82.816620299175639</c:v>
                </c:pt>
                <c:pt idx="1714">
                  <c:v>85.473105413997885</c:v>
                </c:pt>
                <c:pt idx="1715">
                  <c:v>84.773661331359989</c:v>
                </c:pt>
                <c:pt idx="1716">
                  <c:v>90.556626146408064</c:v>
                </c:pt>
                <c:pt idx="1717">
                  <c:v>87.686921946270516</c:v>
                </c:pt>
                <c:pt idx="1718">
                  <c:v>82.666757578040389</c:v>
                </c:pt>
                <c:pt idx="1719">
                  <c:v>83.994139518973043</c:v>
                </c:pt>
                <c:pt idx="1720">
                  <c:v>87.049003251492337</c:v>
                </c:pt>
                <c:pt idx="1721">
                  <c:v>85.552657532196719</c:v>
                </c:pt>
                <c:pt idx="1722">
                  <c:v>86.273836503912122</c:v>
                </c:pt>
                <c:pt idx="1723">
                  <c:v>86.225029750693025</c:v>
                </c:pt>
                <c:pt idx="1724">
                  <c:v>85.056572992908841</c:v>
                </c:pt>
                <c:pt idx="1725">
                  <c:v>80.629107428979367</c:v>
                </c:pt>
                <c:pt idx="1726">
                  <c:v>80.939327769607388</c:v>
                </c:pt>
                <c:pt idx="1727">
                  <c:v>78.03426899801363</c:v>
                </c:pt>
                <c:pt idx="1728">
                  <c:v>76.451965634143903</c:v>
                </c:pt>
                <c:pt idx="1729">
                  <c:v>81.528370399802014</c:v>
                </c:pt>
                <c:pt idx="1730">
                  <c:v>82.764810054974845</c:v>
                </c:pt>
                <c:pt idx="1731">
                  <c:v>82.731147835631404</c:v>
                </c:pt>
                <c:pt idx="1732">
                  <c:v>85.391895598629119</c:v>
                </c:pt>
                <c:pt idx="1733">
                  <c:v>87.118199097019797</c:v>
                </c:pt>
                <c:pt idx="1734">
                  <c:v>87.119885673555189</c:v>
                </c:pt>
                <c:pt idx="1735">
                  <c:v>87.381570730844629</c:v>
                </c:pt>
                <c:pt idx="1736">
                  <c:v>87.808164850936322</c:v>
                </c:pt>
                <c:pt idx="1737">
                  <c:v>85.175557501912735</c:v>
                </c:pt>
                <c:pt idx="1738">
                  <c:v>86.882892791705899</c:v>
                </c:pt>
                <c:pt idx="1739">
                  <c:v>87.325486284356359</c:v>
                </c:pt>
                <c:pt idx="1740">
                  <c:v>86.045692371447913</c:v>
                </c:pt>
                <c:pt idx="1741">
                  <c:v>82.876337815981728</c:v>
                </c:pt>
                <c:pt idx="1742">
                  <c:v>86.240272475298639</c:v>
                </c:pt>
                <c:pt idx="1743">
                  <c:v>86.123534809323218</c:v>
                </c:pt>
                <c:pt idx="1744">
                  <c:v>88.412814090769714</c:v>
                </c:pt>
                <c:pt idx="1745">
                  <c:v>89.021616236893834</c:v>
                </c:pt>
                <c:pt idx="1746">
                  <c:v>88.561001788002955</c:v>
                </c:pt>
                <c:pt idx="1747">
                  <c:v>93.898906779166609</c:v>
                </c:pt>
                <c:pt idx="1748">
                  <c:v>93.316673990900654</c:v>
                </c:pt>
                <c:pt idx="1749">
                  <c:v>93.618784900407249</c:v>
                </c:pt>
                <c:pt idx="1750">
                  <c:v>91.044139180289946</c:v>
                </c:pt>
                <c:pt idx="1751">
                  <c:v>89.729672256936567</c:v>
                </c:pt>
                <c:pt idx="1752">
                  <c:v>83.123634988827291</c:v>
                </c:pt>
                <c:pt idx="1753">
                  <c:v>82.396264201886041</c:v>
                </c:pt>
                <c:pt idx="1754">
                  <c:v>83.503420834114706</c:v>
                </c:pt>
                <c:pt idx="1755">
                  <c:v>79.707832325099929</c:v>
                </c:pt>
                <c:pt idx="1756">
                  <c:v>76.537894399352439</c:v>
                </c:pt>
                <c:pt idx="1757">
                  <c:v>75.549242872153826</c:v>
                </c:pt>
                <c:pt idx="1758">
                  <c:v>74.007336482614363</c:v>
                </c:pt>
                <c:pt idx="1759">
                  <c:v>72.459769663498037</c:v>
                </c:pt>
                <c:pt idx="1760">
                  <c:v>79.878858116186152</c:v>
                </c:pt>
                <c:pt idx="1761">
                  <c:v>81.374302789222313</c:v>
                </c:pt>
                <c:pt idx="1762">
                  <c:v>81.066132910162807</c:v>
                </c:pt>
                <c:pt idx="1763">
                  <c:v>79.188857707326733</c:v>
                </c:pt>
                <c:pt idx="1764">
                  <c:v>85.391860942207543</c:v>
                </c:pt>
                <c:pt idx="1765">
                  <c:v>85.507010222377573</c:v>
                </c:pt>
                <c:pt idx="1766">
                  <c:v>83.737115651313687</c:v>
                </c:pt>
                <c:pt idx="1767">
                  <c:v>84.578780878263174</c:v>
                </c:pt>
                <c:pt idx="1768">
                  <c:v>78.861234440118409</c:v>
                </c:pt>
                <c:pt idx="1769">
                  <c:v>84.909575141504874</c:v>
                </c:pt>
                <c:pt idx="1770">
                  <c:v>83.390281583514238</c:v>
                </c:pt>
                <c:pt idx="1771">
                  <c:v>84.809610825730786</c:v>
                </c:pt>
                <c:pt idx="1772">
                  <c:v>86.94976093020702</c:v>
                </c:pt>
                <c:pt idx="1773">
                  <c:v>86.104774533340432</c:v>
                </c:pt>
                <c:pt idx="1774">
                  <c:v>82.596666460352068</c:v>
                </c:pt>
                <c:pt idx="1775">
                  <c:v>83.845790095222611</c:v>
                </c:pt>
                <c:pt idx="1776">
                  <c:v>72.676067328215467</c:v>
                </c:pt>
                <c:pt idx="1777">
                  <c:v>73.512470667042734</c:v>
                </c:pt>
                <c:pt idx="1778">
                  <c:v>73.75547631086863</c:v>
                </c:pt>
                <c:pt idx="1779">
                  <c:v>69.141597832940974</c:v>
                </c:pt>
                <c:pt idx="1780">
                  <c:v>68.691899924693189</c:v>
                </c:pt>
                <c:pt idx="1781">
                  <c:v>64.376412646378981</c:v>
                </c:pt>
                <c:pt idx="1782">
                  <c:v>63.447663466291758</c:v>
                </c:pt>
                <c:pt idx="1783">
                  <c:v>54.713380320184015</c:v>
                </c:pt>
                <c:pt idx="1784">
                  <c:v>60.30308772288366</c:v>
                </c:pt>
                <c:pt idx="1785">
                  <c:v>55.16029999827569</c:v>
                </c:pt>
                <c:pt idx="1786">
                  <c:v>55.503258406720917</c:v>
                </c:pt>
                <c:pt idx="1787">
                  <c:v>51.41325832375427</c:v>
                </c:pt>
                <c:pt idx="1788">
                  <c:v>57.232305480324811</c:v>
                </c:pt>
                <c:pt idx="1789">
                  <c:v>56.783156285936741</c:v>
                </c:pt>
                <c:pt idx="1790">
                  <c:v>58.102070689249501</c:v>
                </c:pt>
                <c:pt idx="1791">
                  <c:v>56.834533335218545</c:v>
                </c:pt>
                <c:pt idx="1792">
                  <c:v>52.783994523901171</c:v>
                </c:pt>
                <c:pt idx="1793">
                  <c:v>51.184784962678556</c:v>
                </c:pt>
                <c:pt idx="1794">
                  <c:v>52.755195651225257</c:v>
                </c:pt>
                <c:pt idx="1795">
                  <c:v>55.201944577166387</c:v>
                </c:pt>
                <c:pt idx="1796">
                  <c:v>54.243888241063814</c:v>
                </c:pt>
                <c:pt idx="1797">
                  <c:v>55.56025545210202</c:v>
                </c:pt>
                <c:pt idx="1798">
                  <c:v>57.975744951189299</c:v>
                </c:pt>
                <c:pt idx="1799">
                  <c:v>54.55363495329533</c:v>
                </c:pt>
                <c:pt idx="1800">
                  <c:v>53.283625493931666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0B-4755-BFCA-A9B4DA4B5696}"/>
            </c:ext>
          </c:extLst>
        </c:ser>
        <c:ser>
          <c:idx val="1"/>
          <c:order val="1"/>
          <c:tx>
            <c:strRef>
              <c:f>'Bitcoin MA model'!$H$1</c:f>
              <c:strCache>
                <c:ptCount val="1"/>
                <c:pt idx="0">
                  <c:v>Strat Index</c:v>
                </c:pt>
              </c:strCache>
            </c:strRef>
          </c:tx>
          <c:spPr>
            <a:ln>
              <a:solidFill>
                <a:srgbClr val="002147"/>
              </a:solidFill>
            </a:ln>
          </c:spPr>
          <c:marker>
            <c:symbol val="none"/>
          </c:marker>
          <c:cat>
            <c:numRef>
              <c:f>'Bitcoin MA model'!$A$2:$A$1802</c:f>
              <c:numCache>
                <c:formatCode>m/d/yyyy</c:formatCode>
                <c:ptCount val="1801"/>
                <c:pt idx="0">
                  <c:v>42552</c:v>
                </c:pt>
                <c:pt idx="1">
                  <c:v>42553</c:v>
                </c:pt>
                <c:pt idx="2">
                  <c:v>42554</c:v>
                </c:pt>
                <c:pt idx="3">
                  <c:v>42555</c:v>
                </c:pt>
                <c:pt idx="4">
                  <c:v>42556</c:v>
                </c:pt>
                <c:pt idx="5">
                  <c:v>42557</c:v>
                </c:pt>
                <c:pt idx="6">
                  <c:v>42558</c:v>
                </c:pt>
                <c:pt idx="7">
                  <c:v>42559</c:v>
                </c:pt>
                <c:pt idx="8">
                  <c:v>42560</c:v>
                </c:pt>
                <c:pt idx="9">
                  <c:v>42561</c:v>
                </c:pt>
                <c:pt idx="10">
                  <c:v>42562</c:v>
                </c:pt>
                <c:pt idx="11">
                  <c:v>42563</c:v>
                </c:pt>
                <c:pt idx="12">
                  <c:v>42564</c:v>
                </c:pt>
                <c:pt idx="13">
                  <c:v>42565</c:v>
                </c:pt>
                <c:pt idx="14">
                  <c:v>42566</c:v>
                </c:pt>
                <c:pt idx="15">
                  <c:v>42567</c:v>
                </c:pt>
                <c:pt idx="16">
                  <c:v>42568</c:v>
                </c:pt>
                <c:pt idx="17">
                  <c:v>42569</c:v>
                </c:pt>
                <c:pt idx="18">
                  <c:v>42570</c:v>
                </c:pt>
                <c:pt idx="19">
                  <c:v>42571</c:v>
                </c:pt>
                <c:pt idx="20">
                  <c:v>42572</c:v>
                </c:pt>
                <c:pt idx="21">
                  <c:v>42573</c:v>
                </c:pt>
                <c:pt idx="22">
                  <c:v>42574</c:v>
                </c:pt>
                <c:pt idx="23">
                  <c:v>42575</c:v>
                </c:pt>
                <c:pt idx="24">
                  <c:v>42576</c:v>
                </c:pt>
                <c:pt idx="25">
                  <c:v>42577</c:v>
                </c:pt>
                <c:pt idx="26">
                  <c:v>42578</c:v>
                </c:pt>
                <c:pt idx="27">
                  <c:v>42579</c:v>
                </c:pt>
                <c:pt idx="28">
                  <c:v>42580</c:v>
                </c:pt>
                <c:pt idx="29">
                  <c:v>42581</c:v>
                </c:pt>
                <c:pt idx="30">
                  <c:v>42582</c:v>
                </c:pt>
                <c:pt idx="31">
                  <c:v>42583</c:v>
                </c:pt>
                <c:pt idx="32">
                  <c:v>42584</c:v>
                </c:pt>
                <c:pt idx="33">
                  <c:v>42585</c:v>
                </c:pt>
                <c:pt idx="34">
                  <c:v>42586</c:v>
                </c:pt>
                <c:pt idx="35">
                  <c:v>42587</c:v>
                </c:pt>
                <c:pt idx="36">
                  <c:v>42588</c:v>
                </c:pt>
                <c:pt idx="37">
                  <c:v>42589</c:v>
                </c:pt>
                <c:pt idx="38">
                  <c:v>42590</c:v>
                </c:pt>
                <c:pt idx="39">
                  <c:v>42591</c:v>
                </c:pt>
                <c:pt idx="40">
                  <c:v>42592</c:v>
                </c:pt>
                <c:pt idx="41">
                  <c:v>42593</c:v>
                </c:pt>
                <c:pt idx="42">
                  <c:v>42594</c:v>
                </c:pt>
                <c:pt idx="43">
                  <c:v>42595</c:v>
                </c:pt>
                <c:pt idx="44">
                  <c:v>42596</c:v>
                </c:pt>
                <c:pt idx="45">
                  <c:v>42597</c:v>
                </c:pt>
                <c:pt idx="46">
                  <c:v>42598</c:v>
                </c:pt>
                <c:pt idx="47">
                  <c:v>42599</c:v>
                </c:pt>
                <c:pt idx="48">
                  <c:v>42600</c:v>
                </c:pt>
                <c:pt idx="49">
                  <c:v>42601</c:v>
                </c:pt>
                <c:pt idx="50">
                  <c:v>42602</c:v>
                </c:pt>
                <c:pt idx="51">
                  <c:v>42603</c:v>
                </c:pt>
                <c:pt idx="52">
                  <c:v>42604</c:v>
                </c:pt>
                <c:pt idx="53">
                  <c:v>42605</c:v>
                </c:pt>
                <c:pt idx="54">
                  <c:v>42606</c:v>
                </c:pt>
                <c:pt idx="55">
                  <c:v>42607</c:v>
                </c:pt>
                <c:pt idx="56">
                  <c:v>42608</c:v>
                </c:pt>
                <c:pt idx="57">
                  <c:v>42609</c:v>
                </c:pt>
                <c:pt idx="58">
                  <c:v>42610</c:v>
                </c:pt>
                <c:pt idx="59">
                  <c:v>42611</c:v>
                </c:pt>
                <c:pt idx="60">
                  <c:v>42612</c:v>
                </c:pt>
                <c:pt idx="61">
                  <c:v>42613</c:v>
                </c:pt>
                <c:pt idx="62">
                  <c:v>42614</c:v>
                </c:pt>
                <c:pt idx="63">
                  <c:v>42615</c:v>
                </c:pt>
                <c:pt idx="64">
                  <c:v>42616</c:v>
                </c:pt>
                <c:pt idx="65">
                  <c:v>42617</c:v>
                </c:pt>
                <c:pt idx="66">
                  <c:v>42618</c:v>
                </c:pt>
                <c:pt idx="67">
                  <c:v>42619</c:v>
                </c:pt>
                <c:pt idx="68">
                  <c:v>42620</c:v>
                </c:pt>
                <c:pt idx="69">
                  <c:v>42621</c:v>
                </c:pt>
                <c:pt idx="70">
                  <c:v>42622</c:v>
                </c:pt>
                <c:pt idx="71">
                  <c:v>42623</c:v>
                </c:pt>
                <c:pt idx="72">
                  <c:v>42624</c:v>
                </c:pt>
                <c:pt idx="73">
                  <c:v>42625</c:v>
                </c:pt>
                <c:pt idx="74">
                  <c:v>42626</c:v>
                </c:pt>
                <c:pt idx="75">
                  <c:v>42627</c:v>
                </c:pt>
                <c:pt idx="76">
                  <c:v>42628</c:v>
                </c:pt>
                <c:pt idx="77">
                  <c:v>42629</c:v>
                </c:pt>
                <c:pt idx="78">
                  <c:v>42630</c:v>
                </c:pt>
                <c:pt idx="79">
                  <c:v>42631</c:v>
                </c:pt>
                <c:pt idx="80">
                  <c:v>42632</c:v>
                </c:pt>
                <c:pt idx="81">
                  <c:v>42633</c:v>
                </c:pt>
                <c:pt idx="82">
                  <c:v>42634</c:v>
                </c:pt>
                <c:pt idx="83">
                  <c:v>42635</c:v>
                </c:pt>
                <c:pt idx="84">
                  <c:v>42636</c:v>
                </c:pt>
                <c:pt idx="85">
                  <c:v>42637</c:v>
                </c:pt>
                <c:pt idx="86">
                  <c:v>42638</c:v>
                </c:pt>
                <c:pt idx="87">
                  <c:v>42639</c:v>
                </c:pt>
                <c:pt idx="88">
                  <c:v>42640</c:v>
                </c:pt>
                <c:pt idx="89">
                  <c:v>42641</c:v>
                </c:pt>
                <c:pt idx="90">
                  <c:v>42642</c:v>
                </c:pt>
                <c:pt idx="91">
                  <c:v>42643</c:v>
                </c:pt>
                <c:pt idx="92">
                  <c:v>42644</c:v>
                </c:pt>
                <c:pt idx="93">
                  <c:v>42645</c:v>
                </c:pt>
                <c:pt idx="94">
                  <c:v>42646</c:v>
                </c:pt>
                <c:pt idx="95">
                  <c:v>42647</c:v>
                </c:pt>
                <c:pt idx="96">
                  <c:v>42648</c:v>
                </c:pt>
                <c:pt idx="97">
                  <c:v>42649</c:v>
                </c:pt>
                <c:pt idx="98">
                  <c:v>42650</c:v>
                </c:pt>
                <c:pt idx="99">
                  <c:v>42651</c:v>
                </c:pt>
                <c:pt idx="100">
                  <c:v>42652</c:v>
                </c:pt>
                <c:pt idx="101">
                  <c:v>42653</c:v>
                </c:pt>
                <c:pt idx="102">
                  <c:v>42654</c:v>
                </c:pt>
                <c:pt idx="103">
                  <c:v>42655</c:v>
                </c:pt>
                <c:pt idx="104">
                  <c:v>42656</c:v>
                </c:pt>
                <c:pt idx="105">
                  <c:v>42657</c:v>
                </c:pt>
                <c:pt idx="106">
                  <c:v>42658</c:v>
                </c:pt>
                <c:pt idx="107">
                  <c:v>42659</c:v>
                </c:pt>
                <c:pt idx="108">
                  <c:v>42660</c:v>
                </c:pt>
                <c:pt idx="109">
                  <c:v>42661</c:v>
                </c:pt>
                <c:pt idx="110">
                  <c:v>42662</c:v>
                </c:pt>
                <c:pt idx="111">
                  <c:v>42663</c:v>
                </c:pt>
                <c:pt idx="112">
                  <c:v>42664</c:v>
                </c:pt>
                <c:pt idx="113">
                  <c:v>42665</c:v>
                </c:pt>
                <c:pt idx="114">
                  <c:v>42666</c:v>
                </c:pt>
                <c:pt idx="115">
                  <c:v>42667</c:v>
                </c:pt>
                <c:pt idx="116">
                  <c:v>42668</c:v>
                </c:pt>
                <c:pt idx="117">
                  <c:v>42669</c:v>
                </c:pt>
                <c:pt idx="118">
                  <c:v>42670</c:v>
                </c:pt>
                <c:pt idx="119">
                  <c:v>42671</c:v>
                </c:pt>
                <c:pt idx="120">
                  <c:v>42672</c:v>
                </c:pt>
                <c:pt idx="121">
                  <c:v>42673</c:v>
                </c:pt>
                <c:pt idx="122">
                  <c:v>42674</c:v>
                </c:pt>
                <c:pt idx="123">
                  <c:v>42675</c:v>
                </c:pt>
                <c:pt idx="124">
                  <c:v>42676</c:v>
                </c:pt>
                <c:pt idx="125">
                  <c:v>42677</c:v>
                </c:pt>
                <c:pt idx="126">
                  <c:v>42678</c:v>
                </c:pt>
                <c:pt idx="127">
                  <c:v>42679</c:v>
                </c:pt>
                <c:pt idx="128">
                  <c:v>42680</c:v>
                </c:pt>
                <c:pt idx="129">
                  <c:v>42681</c:v>
                </c:pt>
                <c:pt idx="130">
                  <c:v>42682</c:v>
                </c:pt>
                <c:pt idx="131">
                  <c:v>42683</c:v>
                </c:pt>
                <c:pt idx="132">
                  <c:v>42684</c:v>
                </c:pt>
                <c:pt idx="133">
                  <c:v>42685</c:v>
                </c:pt>
                <c:pt idx="134">
                  <c:v>42686</c:v>
                </c:pt>
                <c:pt idx="135">
                  <c:v>42687</c:v>
                </c:pt>
                <c:pt idx="136">
                  <c:v>42688</c:v>
                </c:pt>
                <c:pt idx="137">
                  <c:v>42689</c:v>
                </c:pt>
                <c:pt idx="138">
                  <c:v>42690</c:v>
                </c:pt>
                <c:pt idx="139">
                  <c:v>42691</c:v>
                </c:pt>
                <c:pt idx="140">
                  <c:v>42692</c:v>
                </c:pt>
                <c:pt idx="141">
                  <c:v>42693</c:v>
                </c:pt>
                <c:pt idx="142">
                  <c:v>42694</c:v>
                </c:pt>
                <c:pt idx="143">
                  <c:v>42695</c:v>
                </c:pt>
                <c:pt idx="144">
                  <c:v>42696</c:v>
                </c:pt>
                <c:pt idx="145">
                  <c:v>42697</c:v>
                </c:pt>
                <c:pt idx="146">
                  <c:v>42698</c:v>
                </c:pt>
                <c:pt idx="147">
                  <c:v>42699</c:v>
                </c:pt>
                <c:pt idx="148">
                  <c:v>42700</c:v>
                </c:pt>
                <c:pt idx="149">
                  <c:v>42701</c:v>
                </c:pt>
                <c:pt idx="150">
                  <c:v>42702</c:v>
                </c:pt>
                <c:pt idx="151">
                  <c:v>42703</c:v>
                </c:pt>
                <c:pt idx="152">
                  <c:v>42704</c:v>
                </c:pt>
                <c:pt idx="153">
                  <c:v>42705</c:v>
                </c:pt>
                <c:pt idx="154">
                  <c:v>42706</c:v>
                </c:pt>
                <c:pt idx="155">
                  <c:v>42707</c:v>
                </c:pt>
                <c:pt idx="156">
                  <c:v>42708</c:v>
                </c:pt>
                <c:pt idx="157">
                  <c:v>42709</c:v>
                </c:pt>
                <c:pt idx="158">
                  <c:v>42710</c:v>
                </c:pt>
                <c:pt idx="159">
                  <c:v>42711</c:v>
                </c:pt>
                <c:pt idx="160">
                  <c:v>42712</c:v>
                </c:pt>
                <c:pt idx="161">
                  <c:v>42713</c:v>
                </c:pt>
                <c:pt idx="162">
                  <c:v>42714</c:v>
                </c:pt>
                <c:pt idx="163">
                  <c:v>42715</c:v>
                </c:pt>
                <c:pt idx="164">
                  <c:v>42716</c:v>
                </c:pt>
                <c:pt idx="165">
                  <c:v>42717</c:v>
                </c:pt>
                <c:pt idx="166">
                  <c:v>42718</c:v>
                </c:pt>
                <c:pt idx="167">
                  <c:v>42719</c:v>
                </c:pt>
                <c:pt idx="168">
                  <c:v>42720</c:v>
                </c:pt>
                <c:pt idx="169">
                  <c:v>42721</c:v>
                </c:pt>
                <c:pt idx="170">
                  <c:v>42722</c:v>
                </c:pt>
                <c:pt idx="171">
                  <c:v>42723</c:v>
                </c:pt>
                <c:pt idx="172">
                  <c:v>42724</c:v>
                </c:pt>
                <c:pt idx="173">
                  <c:v>42725</c:v>
                </c:pt>
                <c:pt idx="174">
                  <c:v>42726</c:v>
                </c:pt>
                <c:pt idx="175">
                  <c:v>42727</c:v>
                </c:pt>
                <c:pt idx="176">
                  <c:v>42728</c:v>
                </c:pt>
                <c:pt idx="177">
                  <c:v>42729</c:v>
                </c:pt>
                <c:pt idx="178">
                  <c:v>42730</c:v>
                </c:pt>
                <c:pt idx="179">
                  <c:v>42731</c:v>
                </c:pt>
                <c:pt idx="180">
                  <c:v>42732</c:v>
                </c:pt>
                <c:pt idx="181">
                  <c:v>42733</c:v>
                </c:pt>
                <c:pt idx="182">
                  <c:v>42734</c:v>
                </c:pt>
                <c:pt idx="183">
                  <c:v>42735</c:v>
                </c:pt>
                <c:pt idx="184">
                  <c:v>42736</c:v>
                </c:pt>
                <c:pt idx="185">
                  <c:v>42737</c:v>
                </c:pt>
                <c:pt idx="186">
                  <c:v>42738</c:v>
                </c:pt>
                <c:pt idx="187">
                  <c:v>42739</c:v>
                </c:pt>
                <c:pt idx="188">
                  <c:v>42740</c:v>
                </c:pt>
                <c:pt idx="189">
                  <c:v>42741</c:v>
                </c:pt>
                <c:pt idx="190">
                  <c:v>42742</c:v>
                </c:pt>
                <c:pt idx="191">
                  <c:v>42743</c:v>
                </c:pt>
                <c:pt idx="192">
                  <c:v>42744</c:v>
                </c:pt>
                <c:pt idx="193">
                  <c:v>42745</c:v>
                </c:pt>
                <c:pt idx="194">
                  <c:v>42746</c:v>
                </c:pt>
                <c:pt idx="195">
                  <c:v>42747</c:v>
                </c:pt>
                <c:pt idx="196">
                  <c:v>42748</c:v>
                </c:pt>
                <c:pt idx="197">
                  <c:v>42749</c:v>
                </c:pt>
                <c:pt idx="198">
                  <c:v>42750</c:v>
                </c:pt>
                <c:pt idx="199">
                  <c:v>42751</c:v>
                </c:pt>
                <c:pt idx="200">
                  <c:v>42752</c:v>
                </c:pt>
                <c:pt idx="201">
                  <c:v>42753</c:v>
                </c:pt>
                <c:pt idx="202">
                  <c:v>42754</c:v>
                </c:pt>
                <c:pt idx="203">
                  <c:v>42755</c:v>
                </c:pt>
                <c:pt idx="204">
                  <c:v>42756</c:v>
                </c:pt>
                <c:pt idx="205">
                  <c:v>42757</c:v>
                </c:pt>
                <c:pt idx="206">
                  <c:v>42758</c:v>
                </c:pt>
                <c:pt idx="207">
                  <c:v>42759</c:v>
                </c:pt>
                <c:pt idx="208">
                  <c:v>42760</c:v>
                </c:pt>
                <c:pt idx="209">
                  <c:v>42761</c:v>
                </c:pt>
                <c:pt idx="210">
                  <c:v>42762</c:v>
                </c:pt>
                <c:pt idx="211">
                  <c:v>42763</c:v>
                </c:pt>
                <c:pt idx="212">
                  <c:v>42764</c:v>
                </c:pt>
                <c:pt idx="213">
                  <c:v>42765</c:v>
                </c:pt>
                <c:pt idx="214">
                  <c:v>42766</c:v>
                </c:pt>
                <c:pt idx="215">
                  <c:v>42767</c:v>
                </c:pt>
                <c:pt idx="216">
                  <c:v>42768</c:v>
                </c:pt>
                <c:pt idx="217">
                  <c:v>42769</c:v>
                </c:pt>
                <c:pt idx="218">
                  <c:v>42770</c:v>
                </c:pt>
                <c:pt idx="219">
                  <c:v>42771</c:v>
                </c:pt>
                <c:pt idx="220">
                  <c:v>42772</c:v>
                </c:pt>
                <c:pt idx="221">
                  <c:v>42773</c:v>
                </c:pt>
                <c:pt idx="222">
                  <c:v>42774</c:v>
                </c:pt>
                <c:pt idx="223">
                  <c:v>42775</c:v>
                </c:pt>
                <c:pt idx="224">
                  <c:v>42776</c:v>
                </c:pt>
                <c:pt idx="225">
                  <c:v>42777</c:v>
                </c:pt>
                <c:pt idx="226">
                  <c:v>42778</c:v>
                </c:pt>
                <c:pt idx="227">
                  <c:v>42779</c:v>
                </c:pt>
                <c:pt idx="228">
                  <c:v>42780</c:v>
                </c:pt>
                <c:pt idx="229">
                  <c:v>42781</c:v>
                </c:pt>
                <c:pt idx="230">
                  <c:v>42782</c:v>
                </c:pt>
                <c:pt idx="231">
                  <c:v>42783</c:v>
                </c:pt>
                <c:pt idx="232">
                  <c:v>42784</c:v>
                </c:pt>
                <c:pt idx="233">
                  <c:v>42785</c:v>
                </c:pt>
                <c:pt idx="234">
                  <c:v>42786</c:v>
                </c:pt>
                <c:pt idx="235">
                  <c:v>42787</c:v>
                </c:pt>
                <c:pt idx="236">
                  <c:v>42788</c:v>
                </c:pt>
                <c:pt idx="237">
                  <c:v>42789</c:v>
                </c:pt>
                <c:pt idx="238">
                  <c:v>42790</c:v>
                </c:pt>
                <c:pt idx="239">
                  <c:v>42791</c:v>
                </c:pt>
                <c:pt idx="240">
                  <c:v>42792</c:v>
                </c:pt>
                <c:pt idx="241">
                  <c:v>42793</c:v>
                </c:pt>
                <c:pt idx="242">
                  <c:v>42794</c:v>
                </c:pt>
                <c:pt idx="243">
                  <c:v>42795</c:v>
                </c:pt>
                <c:pt idx="244">
                  <c:v>42796</c:v>
                </c:pt>
                <c:pt idx="245">
                  <c:v>42797</c:v>
                </c:pt>
                <c:pt idx="246">
                  <c:v>42798</c:v>
                </c:pt>
                <c:pt idx="247">
                  <c:v>42799</c:v>
                </c:pt>
                <c:pt idx="248">
                  <c:v>42800</c:v>
                </c:pt>
                <c:pt idx="249">
                  <c:v>42801</c:v>
                </c:pt>
                <c:pt idx="250">
                  <c:v>42802</c:v>
                </c:pt>
                <c:pt idx="251">
                  <c:v>42803</c:v>
                </c:pt>
                <c:pt idx="252">
                  <c:v>42804</c:v>
                </c:pt>
                <c:pt idx="253">
                  <c:v>42805</c:v>
                </c:pt>
                <c:pt idx="254">
                  <c:v>42806</c:v>
                </c:pt>
                <c:pt idx="255">
                  <c:v>42807</c:v>
                </c:pt>
                <c:pt idx="256">
                  <c:v>42808</c:v>
                </c:pt>
                <c:pt idx="257">
                  <c:v>42809</c:v>
                </c:pt>
                <c:pt idx="258">
                  <c:v>42810</c:v>
                </c:pt>
                <c:pt idx="259">
                  <c:v>42811</c:v>
                </c:pt>
                <c:pt idx="260">
                  <c:v>42812</c:v>
                </c:pt>
                <c:pt idx="261">
                  <c:v>42813</c:v>
                </c:pt>
                <c:pt idx="262">
                  <c:v>42814</c:v>
                </c:pt>
                <c:pt idx="263">
                  <c:v>42815</c:v>
                </c:pt>
                <c:pt idx="264">
                  <c:v>42816</c:v>
                </c:pt>
                <c:pt idx="265">
                  <c:v>42817</c:v>
                </c:pt>
                <c:pt idx="266">
                  <c:v>42818</c:v>
                </c:pt>
                <c:pt idx="267">
                  <c:v>42819</c:v>
                </c:pt>
                <c:pt idx="268">
                  <c:v>42820</c:v>
                </c:pt>
                <c:pt idx="269">
                  <c:v>42821</c:v>
                </c:pt>
                <c:pt idx="270">
                  <c:v>42822</c:v>
                </c:pt>
                <c:pt idx="271">
                  <c:v>42823</c:v>
                </c:pt>
                <c:pt idx="272">
                  <c:v>42824</c:v>
                </c:pt>
                <c:pt idx="273">
                  <c:v>42825</c:v>
                </c:pt>
                <c:pt idx="274">
                  <c:v>42826</c:v>
                </c:pt>
                <c:pt idx="275">
                  <c:v>42827</c:v>
                </c:pt>
                <c:pt idx="276">
                  <c:v>42828</c:v>
                </c:pt>
                <c:pt idx="277">
                  <c:v>42829</c:v>
                </c:pt>
                <c:pt idx="278">
                  <c:v>42830</c:v>
                </c:pt>
                <c:pt idx="279">
                  <c:v>42831</c:v>
                </c:pt>
                <c:pt idx="280">
                  <c:v>42832</c:v>
                </c:pt>
                <c:pt idx="281">
                  <c:v>42833</c:v>
                </c:pt>
                <c:pt idx="282">
                  <c:v>42834</c:v>
                </c:pt>
                <c:pt idx="283">
                  <c:v>42835</c:v>
                </c:pt>
                <c:pt idx="284">
                  <c:v>42836</c:v>
                </c:pt>
                <c:pt idx="285">
                  <c:v>42837</c:v>
                </c:pt>
                <c:pt idx="286">
                  <c:v>42838</c:v>
                </c:pt>
                <c:pt idx="287">
                  <c:v>42839</c:v>
                </c:pt>
                <c:pt idx="288">
                  <c:v>42840</c:v>
                </c:pt>
                <c:pt idx="289">
                  <c:v>42841</c:v>
                </c:pt>
                <c:pt idx="290">
                  <c:v>42842</c:v>
                </c:pt>
                <c:pt idx="291">
                  <c:v>42843</c:v>
                </c:pt>
                <c:pt idx="292">
                  <c:v>42844</c:v>
                </c:pt>
                <c:pt idx="293">
                  <c:v>42845</c:v>
                </c:pt>
                <c:pt idx="294">
                  <c:v>42846</c:v>
                </c:pt>
                <c:pt idx="295">
                  <c:v>42847</c:v>
                </c:pt>
                <c:pt idx="296">
                  <c:v>42848</c:v>
                </c:pt>
                <c:pt idx="297">
                  <c:v>42849</c:v>
                </c:pt>
                <c:pt idx="298">
                  <c:v>42850</c:v>
                </c:pt>
                <c:pt idx="299">
                  <c:v>42851</c:v>
                </c:pt>
                <c:pt idx="300">
                  <c:v>42852</c:v>
                </c:pt>
                <c:pt idx="301">
                  <c:v>42853</c:v>
                </c:pt>
                <c:pt idx="302">
                  <c:v>42854</c:v>
                </c:pt>
                <c:pt idx="303">
                  <c:v>42855</c:v>
                </c:pt>
                <c:pt idx="304">
                  <c:v>42856</c:v>
                </c:pt>
                <c:pt idx="305">
                  <c:v>42857</c:v>
                </c:pt>
                <c:pt idx="306">
                  <c:v>42858</c:v>
                </c:pt>
                <c:pt idx="307">
                  <c:v>42859</c:v>
                </c:pt>
                <c:pt idx="308">
                  <c:v>42860</c:v>
                </c:pt>
                <c:pt idx="309">
                  <c:v>42861</c:v>
                </c:pt>
                <c:pt idx="310">
                  <c:v>42862</c:v>
                </c:pt>
                <c:pt idx="311">
                  <c:v>42863</c:v>
                </c:pt>
                <c:pt idx="312">
                  <c:v>42864</c:v>
                </c:pt>
                <c:pt idx="313">
                  <c:v>42865</c:v>
                </c:pt>
                <c:pt idx="314">
                  <c:v>42866</c:v>
                </c:pt>
                <c:pt idx="315">
                  <c:v>42867</c:v>
                </c:pt>
                <c:pt idx="316">
                  <c:v>42868</c:v>
                </c:pt>
                <c:pt idx="317">
                  <c:v>42869</c:v>
                </c:pt>
                <c:pt idx="318">
                  <c:v>42870</c:v>
                </c:pt>
                <c:pt idx="319">
                  <c:v>42871</c:v>
                </c:pt>
                <c:pt idx="320">
                  <c:v>42872</c:v>
                </c:pt>
                <c:pt idx="321">
                  <c:v>42873</c:v>
                </c:pt>
                <c:pt idx="322">
                  <c:v>42874</c:v>
                </c:pt>
                <c:pt idx="323">
                  <c:v>42875</c:v>
                </c:pt>
                <c:pt idx="324">
                  <c:v>42876</c:v>
                </c:pt>
                <c:pt idx="325">
                  <c:v>42877</c:v>
                </c:pt>
                <c:pt idx="326">
                  <c:v>42878</c:v>
                </c:pt>
                <c:pt idx="327">
                  <c:v>42879</c:v>
                </c:pt>
                <c:pt idx="328">
                  <c:v>42880</c:v>
                </c:pt>
                <c:pt idx="329">
                  <c:v>42881</c:v>
                </c:pt>
                <c:pt idx="330">
                  <c:v>42882</c:v>
                </c:pt>
                <c:pt idx="331">
                  <c:v>42883</c:v>
                </c:pt>
                <c:pt idx="332">
                  <c:v>42884</c:v>
                </c:pt>
                <c:pt idx="333">
                  <c:v>42885</c:v>
                </c:pt>
                <c:pt idx="334">
                  <c:v>42886</c:v>
                </c:pt>
                <c:pt idx="335">
                  <c:v>42887</c:v>
                </c:pt>
                <c:pt idx="336">
                  <c:v>42888</c:v>
                </c:pt>
                <c:pt idx="337">
                  <c:v>42889</c:v>
                </c:pt>
                <c:pt idx="338">
                  <c:v>42890</c:v>
                </c:pt>
                <c:pt idx="339">
                  <c:v>42891</c:v>
                </c:pt>
                <c:pt idx="340">
                  <c:v>42892</c:v>
                </c:pt>
                <c:pt idx="341">
                  <c:v>42893</c:v>
                </c:pt>
                <c:pt idx="342">
                  <c:v>42894</c:v>
                </c:pt>
                <c:pt idx="343">
                  <c:v>42895</c:v>
                </c:pt>
                <c:pt idx="344">
                  <c:v>42896</c:v>
                </c:pt>
                <c:pt idx="345">
                  <c:v>42897</c:v>
                </c:pt>
                <c:pt idx="346">
                  <c:v>42898</c:v>
                </c:pt>
                <c:pt idx="347">
                  <c:v>42899</c:v>
                </c:pt>
                <c:pt idx="348">
                  <c:v>42900</c:v>
                </c:pt>
                <c:pt idx="349">
                  <c:v>42901</c:v>
                </c:pt>
                <c:pt idx="350">
                  <c:v>42902</c:v>
                </c:pt>
                <c:pt idx="351">
                  <c:v>42903</c:v>
                </c:pt>
                <c:pt idx="352">
                  <c:v>42904</c:v>
                </c:pt>
                <c:pt idx="353">
                  <c:v>42905</c:v>
                </c:pt>
                <c:pt idx="354">
                  <c:v>42906</c:v>
                </c:pt>
                <c:pt idx="355">
                  <c:v>42907</c:v>
                </c:pt>
                <c:pt idx="356">
                  <c:v>42908</c:v>
                </c:pt>
                <c:pt idx="357">
                  <c:v>42909</c:v>
                </c:pt>
                <c:pt idx="358">
                  <c:v>42910</c:v>
                </c:pt>
                <c:pt idx="359">
                  <c:v>42911</c:v>
                </c:pt>
                <c:pt idx="360">
                  <c:v>42912</c:v>
                </c:pt>
                <c:pt idx="361">
                  <c:v>42913</c:v>
                </c:pt>
                <c:pt idx="362">
                  <c:v>42914</c:v>
                </c:pt>
                <c:pt idx="363">
                  <c:v>42915</c:v>
                </c:pt>
                <c:pt idx="364">
                  <c:v>42916</c:v>
                </c:pt>
                <c:pt idx="365">
                  <c:v>42917</c:v>
                </c:pt>
                <c:pt idx="366">
                  <c:v>42918</c:v>
                </c:pt>
                <c:pt idx="367">
                  <c:v>42919</c:v>
                </c:pt>
                <c:pt idx="368">
                  <c:v>42920</c:v>
                </c:pt>
                <c:pt idx="369">
                  <c:v>42921</c:v>
                </c:pt>
                <c:pt idx="370">
                  <c:v>42922</c:v>
                </c:pt>
                <c:pt idx="371">
                  <c:v>42923</c:v>
                </c:pt>
                <c:pt idx="372">
                  <c:v>42924</c:v>
                </c:pt>
                <c:pt idx="373">
                  <c:v>42925</c:v>
                </c:pt>
                <c:pt idx="374">
                  <c:v>42926</c:v>
                </c:pt>
                <c:pt idx="375">
                  <c:v>42927</c:v>
                </c:pt>
                <c:pt idx="376">
                  <c:v>42928</c:v>
                </c:pt>
                <c:pt idx="377">
                  <c:v>42929</c:v>
                </c:pt>
                <c:pt idx="378">
                  <c:v>42930</c:v>
                </c:pt>
                <c:pt idx="379">
                  <c:v>42931</c:v>
                </c:pt>
                <c:pt idx="380">
                  <c:v>42932</c:v>
                </c:pt>
                <c:pt idx="381">
                  <c:v>42933</c:v>
                </c:pt>
                <c:pt idx="382">
                  <c:v>42934</c:v>
                </c:pt>
                <c:pt idx="383">
                  <c:v>42935</c:v>
                </c:pt>
                <c:pt idx="384">
                  <c:v>42936</c:v>
                </c:pt>
                <c:pt idx="385">
                  <c:v>42937</c:v>
                </c:pt>
                <c:pt idx="386">
                  <c:v>42938</c:v>
                </c:pt>
                <c:pt idx="387">
                  <c:v>42939</c:v>
                </c:pt>
                <c:pt idx="388">
                  <c:v>42940</c:v>
                </c:pt>
                <c:pt idx="389">
                  <c:v>42941</c:v>
                </c:pt>
                <c:pt idx="390">
                  <c:v>42942</c:v>
                </c:pt>
                <c:pt idx="391">
                  <c:v>42943</c:v>
                </c:pt>
                <c:pt idx="392">
                  <c:v>42944</c:v>
                </c:pt>
                <c:pt idx="393">
                  <c:v>42945</c:v>
                </c:pt>
                <c:pt idx="394">
                  <c:v>42946</c:v>
                </c:pt>
                <c:pt idx="395">
                  <c:v>42947</c:v>
                </c:pt>
                <c:pt idx="396">
                  <c:v>42948</c:v>
                </c:pt>
                <c:pt idx="397">
                  <c:v>42949</c:v>
                </c:pt>
                <c:pt idx="398">
                  <c:v>42950</c:v>
                </c:pt>
                <c:pt idx="399">
                  <c:v>42951</c:v>
                </c:pt>
                <c:pt idx="400">
                  <c:v>42952</c:v>
                </c:pt>
                <c:pt idx="401">
                  <c:v>42953</c:v>
                </c:pt>
                <c:pt idx="402">
                  <c:v>42954</c:v>
                </c:pt>
                <c:pt idx="403">
                  <c:v>42955</c:v>
                </c:pt>
                <c:pt idx="404">
                  <c:v>42956</c:v>
                </c:pt>
                <c:pt idx="405">
                  <c:v>42957</c:v>
                </c:pt>
                <c:pt idx="406">
                  <c:v>42958</c:v>
                </c:pt>
                <c:pt idx="407">
                  <c:v>42959</c:v>
                </c:pt>
                <c:pt idx="408">
                  <c:v>42960</c:v>
                </c:pt>
                <c:pt idx="409">
                  <c:v>42961</c:v>
                </c:pt>
                <c:pt idx="410">
                  <c:v>42962</c:v>
                </c:pt>
                <c:pt idx="411">
                  <c:v>42963</c:v>
                </c:pt>
                <c:pt idx="412">
                  <c:v>42964</c:v>
                </c:pt>
                <c:pt idx="413">
                  <c:v>42965</c:v>
                </c:pt>
                <c:pt idx="414">
                  <c:v>42966</c:v>
                </c:pt>
                <c:pt idx="415">
                  <c:v>42967</c:v>
                </c:pt>
                <c:pt idx="416">
                  <c:v>42968</c:v>
                </c:pt>
                <c:pt idx="417">
                  <c:v>42969</c:v>
                </c:pt>
                <c:pt idx="418">
                  <c:v>42970</c:v>
                </c:pt>
                <c:pt idx="419">
                  <c:v>42971</c:v>
                </c:pt>
                <c:pt idx="420">
                  <c:v>42972</c:v>
                </c:pt>
                <c:pt idx="421">
                  <c:v>42973</c:v>
                </c:pt>
                <c:pt idx="422">
                  <c:v>42974</c:v>
                </c:pt>
                <c:pt idx="423">
                  <c:v>42975</c:v>
                </c:pt>
                <c:pt idx="424">
                  <c:v>42976</c:v>
                </c:pt>
                <c:pt idx="425">
                  <c:v>42977</c:v>
                </c:pt>
                <c:pt idx="426">
                  <c:v>42978</c:v>
                </c:pt>
                <c:pt idx="427">
                  <c:v>42979</c:v>
                </c:pt>
                <c:pt idx="428">
                  <c:v>42980</c:v>
                </c:pt>
                <c:pt idx="429">
                  <c:v>42981</c:v>
                </c:pt>
                <c:pt idx="430">
                  <c:v>42982</c:v>
                </c:pt>
                <c:pt idx="431">
                  <c:v>42983</c:v>
                </c:pt>
                <c:pt idx="432">
                  <c:v>42984</c:v>
                </c:pt>
                <c:pt idx="433">
                  <c:v>42985</c:v>
                </c:pt>
                <c:pt idx="434">
                  <c:v>42986</c:v>
                </c:pt>
                <c:pt idx="435">
                  <c:v>42987</c:v>
                </c:pt>
                <c:pt idx="436">
                  <c:v>42988</c:v>
                </c:pt>
                <c:pt idx="437">
                  <c:v>42989</c:v>
                </c:pt>
                <c:pt idx="438">
                  <c:v>42990</c:v>
                </c:pt>
                <c:pt idx="439">
                  <c:v>42991</c:v>
                </c:pt>
                <c:pt idx="440">
                  <c:v>42992</c:v>
                </c:pt>
                <c:pt idx="441">
                  <c:v>42993</c:v>
                </c:pt>
                <c:pt idx="442">
                  <c:v>42994</c:v>
                </c:pt>
                <c:pt idx="443">
                  <c:v>42995</c:v>
                </c:pt>
                <c:pt idx="444">
                  <c:v>42996</c:v>
                </c:pt>
                <c:pt idx="445">
                  <c:v>42997</c:v>
                </c:pt>
                <c:pt idx="446">
                  <c:v>42998</c:v>
                </c:pt>
                <c:pt idx="447">
                  <c:v>42999</c:v>
                </c:pt>
                <c:pt idx="448">
                  <c:v>43000</c:v>
                </c:pt>
                <c:pt idx="449">
                  <c:v>43001</c:v>
                </c:pt>
                <c:pt idx="450">
                  <c:v>43002</c:v>
                </c:pt>
                <c:pt idx="451">
                  <c:v>43003</c:v>
                </c:pt>
                <c:pt idx="452">
                  <c:v>43004</c:v>
                </c:pt>
                <c:pt idx="453">
                  <c:v>43005</c:v>
                </c:pt>
                <c:pt idx="454">
                  <c:v>43006</c:v>
                </c:pt>
                <c:pt idx="455">
                  <c:v>43007</c:v>
                </c:pt>
                <c:pt idx="456">
                  <c:v>43008</c:v>
                </c:pt>
                <c:pt idx="457">
                  <c:v>43009</c:v>
                </c:pt>
                <c:pt idx="458">
                  <c:v>43010</c:v>
                </c:pt>
                <c:pt idx="459">
                  <c:v>43011</c:v>
                </c:pt>
                <c:pt idx="460">
                  <c:v>43012</c:v>
                </c:pt>
                <c:pt idx="461">
                  <c:v>43013</c:v>
                </c:pt>
                <c:pt idx="462">
                  <c:v>43014</c:v>
                </c:pt>
                <c:pt idx="463">
                  <c:v>43015</c:v>
                </c:pt>
                <c:pt idx="464">
                  <c:v>43016</c:v>
                </c:pt>
                <c:pt idx="465">
                  <c:v>43017</c:v>
                </c:pt>
                <c:pt idx="466">
                  <c:v>43018</c:v>
                </c:pt>
                <c:pt idx="467">
                  <c:v>43019</c:v>
                </c:pt>
                <c:pt idx="468">
                  <c:v>43020</c:v>
                </c:pt>
                <c:pt idx="469">
                  <c:v>43021</c:v>
                </c:pt>
                <c:pt idx="470">
                  <c:v>43022</c:v>
                </c:pt>
                <c:pt idx="471">
                  <c:v>43023</c:v>
                </c:pt>
                <c:pt idx="472">
                  <c:v>43024</c:v>
                </c:pt>
                <c:pt idx="473">
                  <c:v>43025</c:v>
                </c:pt>
                <c:pt idx="474">
                  <c:v>43026</c:v>
                </c:pt>
                <c:pt idx="475">
                  <c:v>43027</c:v>
                </c:pt>
                <c:pt idx="476">
                  <c:v>43028</c:v>
                </c:pt>
                <c:pt idx="477">
                  <c:v>43029</c:v>
                </c:pt>
                <c:pt idx="478">
                  <c:v>43030</c:v>
                </c:pt>
                <c:pt idx="479">
                  <c:v>43031</c:v>
                </c:pt>
                <c:pt idx="480">
                  <c:v>43032</c:v>
                </c:pt>
                <c:pt idx="481">
                  <c:v>43033</c:v>
                </c:pt>
                <c:pt idx="482">
                  <c:v>43034</c:v>
                </c:pt>
                <c:pt idx="483">
                  <c:v>43035</c:v>
                </c:pt>
                <c:pt idx="484">
                  <c:v>43036</c:v>
                </c:pt>
                <c:pt idx="485">
                  <c:v>43037</c:v>
                </c:pt>
                <c:pt idx="486">
                  <c:v>43038</c:v>
                </c:pt>
                <c:pt idx="487">
                  <c:v>43039</c:v>
                </c:pt>
                <c:pt idx="488">
                  <c:v>43040</c:v>
                </c:pt>
                <c:pt idx="489">
                  <c:v>43041</c:v>
                </c:pt>
                <c:pt idx="490">
                  <c:v>43042</c:v>
                </c:pt>
                <c:pt idx="491">
                  <c:v>43043</c:v>
                </c:pt>
                <c:pt idx="492">
                  <c:v>43044</c:v>
                </c:pt>
                <c:pt idx="493">
                  <c:v>43045</c:v>
                </c:pt>
                <c:pt idx="494">
                  <c:v>43046</c:v>
                </c:pt>
                <c:pt idx="495">
                  <c:v>43047</c:v>
                </c:pt>
                <c:pt idx="496">
                  <c:v>43048</c:v>
                </c:pt>
                <c:pt idx="497">
                  <c:v>43049</c:v>
                </c:pt>
                <c:pt idx="498">
                  <c:v>43050</c:v>
                </c:pt>
                <c:pt idx="499">
                  <c:v>43051</c:v>
                </c:pt>
                <c:pt idx="500">
                  <c:v>43052</c:v>
                </c:pt>
                <c:pt idx="501">
                  <c:v>43053</c:v>
                </c:pt>
                <c:pt idx="502">
                  <c:v>43054</c:v>
                </c:pt>
                <c:pt idx="503">
                  <c:v>43055</c:v>
                </c:pt>
                <c:pt idx="504">
                  <c:v>43056</c:v>
                </c:pt>
                <c:pt idx="505">
                  <c:v>43057</c:v>
                </c:pt>
                <c:pt idx="506">
                  <c:v>43058</c:v>
                </c:pt>
                <c:pt idx="507">
                  <c:v>43059</c:v>
                </c:pt>
                <c:pt idx="508">
                  <c:v>43060</c:v>
                </c:pt>
                <c:pt idx="509">
                  <c:v>43061</c:v>
                </c:pt>
                <c:pt idx="510">
                  <c:v>43062</c:v>
                </c:pt>
                <c:pt idx="511">
                  <c:v>43063</c:v>
                </c:pt>
                <c:pt idx="512">
                  <c:v>43064</c:v>
                </c:pt>
                <c:pt idx="513">
                  <c:v>43065</c:v>
                </c:pt>
                <c:pt idx="514">
                  <c:v>43066</c:v>
                </c:pt>
                <c:pt idx="515">
                  <c:v>43067</c:v>
                </c:pt>
                <c:pt idx="516">
                  <c:v>43068</c:v>
                </c:pt>
                <c:pt idx="517">
                  <c:v>43069</c:v>
                </c:pt>
                <c:pt idx="518">
                  <c:v>43070</c:v>
                </c:pt>
                <c:pt idx="519">
                  <c:v>43071</c:v>
                </c:pt>
                <c:pt idx="520">
                  <c:v>43072</c:v>
                </c:pt>
                <c:pt idx="521">
                  <c:v>43073</c:v>
                </c:pt>
                <c:pt idx="522">
                  <c:v>43074</c:v>
                </c:pt>
                <c:pt idx="523">
                  <c:v>43075</c:v>
                </c:pt>
                <c:pt idx="524">
                  <c:v>43076</c:v>
                </c:pt>
                <c:pt idx="525">
                  <c:v>43077</c:v>
                </c:pt>
                <c:pt idx="526">
                  <c:v>43078</c:v>
                </c:pt>
                <c:pt idx="527">
                  <c:v>43079</c:v>
                </c:pt>
                <c:pt idx="528">
                  <c:v>43080</c:v>
                </c:pt>
                <c:pt idx="529">
                  <c:v>43081</c:v>
                </c:pt>
                <c:pt idx="530">
                  <c:v>43082</c:v>
                </c:pt>
                <c:pt idx="531">
                  <c:v>43083</c:v>
                </c:pt>
                <c:pt idx="532">
                  <c:v>43084</c:v>
                </c:pt>
                <c:pt idx="533">
                  <c:v>43085</c:v>
                </c:pt>
                <c:pt idx="534">
                  <c:v>43086</c:v>
                </c:pt>
                <c:pt idx="535">
                  <c:v>43087</c:v>
                </c:pt>
                <c:pt idx="536">
                  <c:v>43088</c:v>
                </c:pt>
                <c:pt idx="537">
                  <c:v>43089</c:v>
                </c:pt>
                <c:pt idx="538">
                  <c:v>43090</c:v>
                </c:pt>
                <c:pt idx="539">
                  <c:v>43091</c:v>
                </c:pt>
                <c:pt idx="540">
                  <c:v>43092</c:v>
                </c:pt>
                <c:pt idx="541">
                  <c:v>43093</c:v>
                </c:pt>
                <c:pt idx="542">
                  <c:v>43094</c:v>
                </c:pt>
                <c:pt idx="543">
                  <c:v>43095</c:v>
                </c:pt>
                <c:pt idx="544">
                  <c:v>43096</c:v>
                </c:pt>
                <c:pt idx="545">
                  <c:v>43097</c:v>
                </c:pt>
                <c:pt idx="546">
                  <c:v>43098</c:v>
                </c:pt>
                <c:pt idx="547">
                  <c:v>43099</c:v>
                </c:pt>
                <c:pt idx="548">
                  <c:v>43100</c:v>
                </c:pt>
                <c:pt idx="549">
                  <c:v>43101</c:v>
                </c:pt>
                <c:pt idx="550">
                  <c:v>43102</c:v>
                </c:pt>
                <c:pt idx="551">
                  <c:v>43103</c:v>
                </c:pt>
                <c:pt idx="552">
                  <c:v>43104</c:v>
                </c:pt>
                <c:pt idx="553">
                  <c:v>43105</c:v>
                </c:pt>
                <c:pt idx="554">
                  <c:v>43106</c:v>
                </c:pt>
                <c:pt idx="555">
                  <c:v>43107</c:v>
                </c:pt>
                <c:pt idx="556">
                  <c:v>43108</c:v>
                </c:pt>
                <c:pt idx="557">
                  <c:v>43109</c:v>
                </c:pt>
                <c:pt idx="558">
                  <c:v>43110</c:v>
                </c:pt>
                <c:pt idx="559">
                  <c:v>43111</c:v>
                </c:pt>
                <c:pt idx="560">
                  <c:v>43112</c:v>
                </c:pt>
                <c:pt idx="561">
                  <c:v>43113</c:v>
                </c:pt>
                <c:pt idx="562">
                  <c:v>43114</c:v>
                </c:pt>
                <c:pt idx="563">
                  <c:v>43115</c:v>
                </c:pt>
                <c:pt idx="564">
                  <c:v>43116</c:v>
                </c:pt>
                <c:pt idx="565">
                  <c:v>43117</c:v>
                </c:pt>
                <c:pt idx="566">
                  <c:v>43118</c:v>
                </c:pt>
                <c:pt idx="567">
                  <c:v>43119</c:v>
                </c:pt>
                <c:pt idx="568">
                  <c:v>43120</c:v>
                </c:pt>
                <c:pt idx="569">
                  <c:v>43121</c:v>
                </c:pt>
                <c:pt idx="570">
                  <c:v>43122</c:v>
                </c:pt>
                <c:pt idx="571">
                  <c:v>43123</c:v>
                </c:pt>
                <c:pt idx="572">
                  <c:v>43124</c:v>
                </c:pt>
                <c:pt idx="573">
                  <c:v>43125</c:v>
                </c:pt>
                <c:pt idx="574">
                  <c:v>43126</c:v>
                </c:pt>
                <c:pt idx="575">
                  <c:v>43127</c:v>
                </c:pt>
                <c:pt idx="576">
                  <c:v>43128</c:v>
                </c:pt>
                <c:pt idx="577">
                  <c:v>43129</c:v>
                </c:pt>
                <c:pt idx="578">
                  <c:v>43130</c:v>
                </c:pt>
                <c:pt idx="579">
                  <c:v>43131</c:v>
                </c:pt>
                <c:pt idx="580">
                  <c:v>43132</c:v>
                </c:pt>
                <c:pt idx="581">
                  <c:v>43133</c:v>
                </c:pt>
                <c:pt idx="582">
                  <c:v>43134</c:v>
                </c:pt>
                <c:pt idx="583">
                  <c:v>43135</c:v>
                </c:pt>
                <c:pt idx="584">
                  <c:v>43136</c:v>
                </c:pt>
                <c:pt idx="585">
                  <c:v>43137</c:v>
                </c:pt>
                <c:pt idx="586">
                  <c:v>43138</c:v>
                </c:pt>
                <c:pt idx="587">
                  <c:v>43139</c:v>
                </c:pt>
                <c:pt idx="588">
                  <c:v>43140</c:v>
                </c:pt>
                <c:pt idx="589">
                  <c:v>43141</c:v>
                </c:pt>
                <c:pt idx="590">
                  <c:v>43142</c:v>
                </c:pt>
                <c:pt idx="591">
                  <c:v>43143</c:v>
                </c:pt>
                <c:pt idx="592">
                  <c:v>43144</c:v>
                </c:pt>
                <c:pt idx="593">
                  <c:v>43145</c:v>
                </c:pt>
                <c:pt idx="594">
                  <c:v>43146</c:v>
                </c:pt>
                <c:pt idx="595">
                  <c:v>43147</c:v>
                </c:pt>
                <c:pt idx="596">
                  <c:v>43148</c:v>
                </c:pt>
                <c:pt idx="597">
                  <c:v>43149</c:v>
                </c:pt>
                <c:pt idx="598">
                  <c:v>43150</c:v>
                </c:pt>
                <c:pt idx="599">
                  <c:v>43151</c:v>
                </c:pt>
                <c:pt idx="600">
                  <c:v>43152</c:v>
                </c:pt>
                <c:pt idx="601">
                  <c:v>43153</c:v>
                </c:pt>
                <c:pt idx="602">
                  <c:v>43154</c:v>
                </c:pt>
                <c:pt idx="603">
                  <c:v>43155</c:v>
                </c:pt>
                <c:pt idx="604">
                  <c:v>43156</c:v>
                </c:pt>
                <c:pt idx="605">
                  <c:v>43157</c:v>
                </c:pt>
                <c:pt idx="606">
                  <c:v>43158</c:v>
                </c:pt>
                <c:pt idx="607">
                  <c:v>43159</c:v>
                </c:pt>
                <c:pt idx="608">
                  <c:v>43160</c:v>
                </c:pt>
                <c:pt idx="609">
                  <c:v>43161</c:v>
                </c:pt>
                <c:pt idx="610">
                  <c:v>43162</c:v>
                </c:pt>
                <c:pt idx="611">
                  <c:v>43163</c:v>
                </c:pt>
                <c:pt idx="612">
                  <c:v>43164</c:v>
                </c:pt>
                <c:pt idx="613">
                  <c:v>43165</c:v>
                </c:pt>
                <c:pt idx="614">
                  <c:v>43166</c:v>
                </c:pt>
                <c:pt idx="615">
                  <c:v>43167</c:v>
                </c:pt>
                <c:pt idx="616">
                  <c:v>43168</c:v>
                </c:pt>
                <c:pt idx="617">
                  <c:v>43169</c:v>
                </c:pt>
                <c:pt idx="618">
                  <c:v>43170</c:v>
                </c:pt>
                <c:pt idx="619">
                  <c:v>43171</c:v>
                </c:pt>
                <c:pt idx="620">
                  <c:v>43172</c:v>
                </c:pt>
                <c:pt idx="621">
                  <c:v>43173</c:v>
                </c:pt>
                <c:pt idx="622">
                  <c:v>43174</c:v>
                </c:pt>
                <c:pt idx="623">
                  <c:v>43175</c:v>
                </c:pt>
                <c:pt idx="624">
                  <c:v>43176</c:v>
                </c:pt>
                <c:pt idx="625">
                  <c:v>43177</c:v>
                </c:pt>
                <c:pt idx="626">
                  <c:v>43178</c:v>
                </c:pt>
                <c:pt idx="627">
                  <c:v>43179</c:v>
                </c:pt>
                <c:pt idx="628">
                  <c:v>43180</c:v>
                </c:pt>
                <c:pt idx="629">
                  <c:v>43181</c:v>
                </c:pt>
                <c:pt idx="630">
                  <c:v>43182</c:v>
                </c:pt>
                <c:pt idx="631">
                  <c:v>43183</c:v>
                </c:pt>
                <c:pt idx="632">
                  <c:v>43184</c:v>
                </c:pt>
                <c:pt idx="633">
                  <c:v>43185</c:v>
                </c:pt>
                <c:pt idx="634">
                  <c:v>43186</c:v>
                </c:pt>
                <c:pt idx="635">
                  <c:v>43187</c:v>
                </c:pt>
                <c:pt idx="636">
                  <c:v>43188</c:v>
                </c:pt>
                <c:pt idx="637">
                  <c:v>43189</c:v>
                </c:pt>
                <c:pt idx="638">
                  <c:v>43190</c:v>
                </c:pt>
                <c:pt idx="639">
                  <c:v>43191</c:v>
                </c:pt>
                <c:pt idx="640">
                  <c:v>43192</c:v>
                </c:pt>
                <c:pt idx="641">
                  <c:v>43193</c:v>
                </c:pt>
                <c:pt idx="642">
                  <c:v>43194</c:v>
                </c:pt>
                <c:pt idx="643">
                  <c:v>43195</c:v>
                </c:pt>
                <c:pt idx="644">
                  <c:v>43196</c:v>
                </c:pt>
                <c:pt idx="645">
                  <c:v>43197</c:v>
                </c:pt>
                <c:pt idx="646">
                  <c:v>43198</c:v>
                </c:pt>
                <c:pt idx="647">
                  <c:v>43199</c:v>
                </c:pt>
                <c:pt idx="648">
                  <c:v>43200</c:v>
                </c:pt>
                <c:pt idx="649">
                  <c:v>43201</c:v>
                </c:pt>
                <c:pt idx="650">
                  <c:v>43202</c:v>
                </c:pt>
                <c:pt idx="651">
                  <c:v>43203</c:v>
                </c:pt>
                <c:pt idx="652">
                  <c:v>43204</c:v>
                </c:pt>
                <c:pt idx="653">
                  <c:v>43205</c:v>
                </c:pt>
                <c:pt idx="654">
                  <c:v>43206</c:v>
                </c:pt>
                <c:pt idx="655">
                  <c:v>43207</c:v>
                </c:pt>
                <c:pt idx="656">
                  <c:v>43208</c:v>
                </c:pt>
                <c:pt idx="657">
                  <c:v>43209</c:v>
                </c:pt>
                <c:pt idx="658">
                  <c:v>43210</c:v>
                </c:pt>
                <c:pt idx="659">
                  <c:v>43211</c:v>
                </c:pt>
                <c:pt idx="660">
                  <c:v>43212</c:v>
                </c:pt>
                <c:pt idx="661">
                  <c:v>43213</c:v>
                </c:pt>
                <c:pt idx="662">
                  <c:v>43214</c:v>
                </c:pt>
                <c:pt idx="663">
                  <c:v>43215</c:v>
                </c:pt>
                <c:pt idx="664">
                  <c:v>43216</c:v>
                </c:pt>
                <c:pt idx="665">
                  <c:v>43217</c:v>
                </c:pt>
                <c:pt idx="666">
                  <c:v>43218</c:v>
                </c:pt>
                <c:pt idx="667">
                  <c:v>43219</c:v>
                </c:pt>
                <c:pt idx="668">
                  <c:v>43220</c:v>
                </c:pt>
                <c:pt idx="669">
                  <c:v>43221</c:v>
                </c:pt>
                <c:pt idx="670">
                  <c:v>43222</c:v>
                </c:pt>
                <c:pt idx="671">
                  <c:v>43223</c:v>
                </c:pt>
                <c:pt idx="672">
                  <c:v>43224</c:v>
                </c:pt>
                <c:pt idx="673">
                  <c:v>43225</c:v>
                </c:pt>
                <c:pt idx="674">
                  <c:v>43226</c:v>
                </c:pt>
                <c:pt idx="675">
                  <c:v>43227</c:v>
                </c:pt>
                <c:pt idx="676">
                  <c:v>43228</c:v>
                </c:pt>
                <c:pt idx="677">
                  <c:v>43229</c:v>
                </c:pt>
                <c:pt idx="678">
                  <c:v>43230</c:v>
                </c:pt>
                <c:pt idx="679">
                  <c:v>43231</c:v>
                </c:pt>
                <c:pt idx="680">
                  <c:v>43232</c:v>
                </c:pt>
                <c:pt idx="681">
                  <c:v>43233</c:v>
                </c:pt>
                <c:pt idx="682">
                  <c:v>43234</c:v>
                </c:pt>
                <c:pt idx="683">
                  <c:v>43235</c:v>
                </c:pt>
                <c:pt idx="684">
                  <c:v>43236</c:v>
                </c:pt>
                <c:pt idx="685">
                  <c:v>43237</c:v>
                </c:pt>
                <c:pt idx="686">
                  <c:v>43238</c:v>
                </c:pt>
                <c:pt idx="687">
                  <c:v>43239</c:v>
                </c:pt>
                <c:pt idx="688">
                  <c:v>43240</c:v>
                </c:pt>
                <c:pt idx="689">
                  <c:v>43241</c:v>
                </c:pt>
                <c:pt idx="690">
                  <c:v>43242</c:v>
                </c:pt>
                <c:pt idx="691">
                  <c:v>43243</c:v>
                </c:pt>
                <c:pt idx="692">
                  <c:v>43244</c:v>
                </c:pt>
                <c:pt idx="693">
                  <c:v>43245</c:v>
                </c:pt>
                <c:pt idx="694">
                  <c:v>43246</c:v>
                </c:pt>
                <c:pt idx="695">
                  <c:v>43247</c:v>
                </c:pt>
                <c:pt idx="696">
                  <c:v>43248</c:v>
                </c:pt>
                <c:pt idx="697">
                  <c:v>43249</c:v>
                </c:pt>
                <c:pt idx="698">
                  <c:v>43250</c:v>
                </c:pt>
                <c:pt idx="699">
                  <c:v>43251</c:v>
                </c:pt>
                <c:pt idx="700">
                  <c:v>43252</c:v>
                </c:pt>
                <c:pt idx="701">
                  <c:v>43253</c:v>
                </c:pt>
                <c:pt idx="702">
                  <c:v>43254</c:v>
                </c:pt>
                <c:pt idx="703">
                  <c:v>43255</c:v>
                </c:pt>
                <c:pt idx="704">
                  <c:v>43256</c:v>
                </c:pt>
                <c:pt idx="705">
                  <c:v>43257</c:v>
                </c:pt>
                <c:pt idx="706">
                  <c:v>43258</c:v>
                </c:pt>
                <c:pt idx="707">
                  <c:v>43259</c:v>
                </c:pt>
                <c:pt idx="708">
                  <c:v>43260</c:v>
                </c:pt>
                <c:pt idx="709">
                  <c:v>43261</c:v>
                </c:pt>
                <c:pt idx="710">
                  <c:v>43262</c:v>
                </c:pt>
                <c:pt idx="711">
                  <c:v>43263</c:v>
                </c:pt>
                <c:pt idx="712">
                  <c:v>43264</c:v>
                </c:pt>
                <c:pt idx="713">
                  <c:v>43265</c:v>
                </c:pt>
                <c:pt idx="714">
                  <c:v>43266</c:v>
                </c:pt>
                <c:pt idx="715">
                  <c:v>43267</c:v>
                </c:pt>
                <c:pt idx="716">
                  <c:v>43268</c:v>
                </c:pt>
                <c:pt idx="717">
                  <c:v>43269</c:v>
                </c:pt>
                <c:pt idx="718">
                  <c:v>43270</c:v>
                </c:pt>
                <c:pt idx="719">
                  <c:v>43271</c:v>
                </c:pt>
                <c:pt idx="720">
                  <c:v>43272</c:v>
                </c:pt>
                <c:pt idx="721">
                  <c:v>43273</c:v>
                </c:pt>
                <c:pt idx="722">
                  <c:v>43274</c:v>
                </c:pt>
                <c:pt idx="723">
                  <c:v>43275</c:v>
                </c:pt>
                <c:pt idx="724">
                  <c:v>43276</c:v>
                </c:pt>
                <c:pt idx="725">
                  <c:v>43277</c:v>
                </c:pt>
                <c:pt idx="726">
                  <c:v>43278</c:v>
                </c:pt>
                <c:pt idx="727">
                  <c:v>43279</c:v>
                </c:pt>
                <c:pt idx="728">
                  <c:v>43280</c:v>
                </c:pt>
                <c:pt idx="729">
                  <c:v>43281</c:v>
                </c:pt>
                <c:pt idx="730">
                  <c:v>43282</c:v>
                </c:pt>
                <c:pt idx="731">
                  <c:v>43283</c:v>
                </c:pt>
                <c:pt idx="732">
                  <c:v>43284</c:v>
                </c:pt>
                <c:pt idx="733">
                  <c:v>43285</c:v>
                </c:pt>
                <c:pt idx="734">
                  <c:v>43286</c:v>
                </c:pt>
                <c:pt idx="735">
                  <c:v>43287</c:v>
                </c:pt>
                <c:pt idx="736">
                  <c:v>43288</c:v>
                </c:pt>
                <c:pt idx="737">
                  <c:v>43289</c:v>
                </c:pt>
                <c:pt idx="738">
                  <c:v>43290</c:v>
                </c:pt>
                <c:pt idx="739">
                  <c:v>43291</c:v>
                </c:pt>
                <c:pt idx="740">
                  <c:v>43292</c:v>
                </c:pt>
                <c:pt idx="741">
                  <c:v>43293</c:v>
                </c:pt>
                <c:pt idx="742">
                  <c:v>43294</c:v>
                </c:pt>
                <c:pt idx="743">
                  <c:v>43295</c:v>
                </c:pt>
                <c:pt idx="744">
                  <c:v>43296</c:v>
                </c:pt>
                <c:pt idx="745">
                  <c:v>43297</c:v>
                </c:pt>
                <c:pt idx="746">
                  <c:v>43298</c:v>
                </c:pt>
                <c:pt idx="747">
                  <c:v>43299</c:v>
                </c:pt>
                <c:pt idx="748">
                  <c:v>43300</c:v>
                </c:pt>
                <c:pt idx="749">
                  <c:v>43301</c:v>
                </c:pt>
                <c:pt idx="750">
                  <c:v>43302</c:v>
                </c:pt>
                <c:pt idx="751">
                  <c:v>43303</c:v>
                </c:pt>
                <c:pt idx="752">
                  <c:v>43304</c:v>
                </c:pt>
                <c:pt idx="753">
                  <c:v>43305</c:v>
                </c:pt>
                <c:pt idx="754">
                  <c:v>43306</c:v>
                </c:pt>
                <c:pt idx="755">
                  <c:v>43307</c:v>
                </c:pt>
                <c:pt idx="756">
                  <c:v>43308</c:v>
                </c:pt>
                <c:pt idx="757">
                  <c:v>43309</c:v>
                </c:pt>
                <c:pt idx="758">
                  <c:v>43310</c:v>
                </c:pt>
                <c:pt idx="759">
                  <c:v>43311</c:v>
                </c:pt>
                <c:pt idx="760">
                  <c:v>43312</c:v>
                </c:pt>
                <c:pt idx="761">
                  <c:v>43313</c:v>
                </c:pt>
                <c:pt idx="762">
                  <c:v>43314</c:v>
                </c:pt>
                <c:pt idx="763">
                  <c:v>43315</c:v>
                </c:pt>
                <c:pt idx="764">
                  <c:v>43316</c:v>
                </c:pt>
                <c:pt idx="765">
                  <c:v>43317</c:v>
                </c:pt>
                <c:pt idx="766">
                  <c:v>43318</c:v>
                </c:pt>
                <c:pt idx="767">
                  <c:v>43319</c:v>
                </c:pt>
                <c:pt idx="768">
                  <c:v>43320</c:v>
                </c:pt>
                <c:pt idx="769">
                  <c:v>43321</c:v>
                </c:pt>
                <c:pt idx="770">
                  <c:v>43322</c:v>
                </c:pt>
                <c:pt idx="771">
                  <c:v>43323</c:v>
                </c:pt>
                <c:pt idx="772">
                  <c:v>43324</c:v>
                </c:pt>
                <c:pt idx="773">
                  <c:v>43325</c:v>
                </c:pt>
                <c:pt idx="774">
                  <c:v>43326</c:v>
                </c:pt>
                <c:pt idx="775">
                  <c:v>43327</c:v>
                </c:pt>
                <c:pt idx="776">
                  <c:v>43328</c:v>
                </c:pt>
                <c:pt idx="777">
                  <c:v>43329</c:v>
                </c:pt>
                <c:pt idx="778">
                  <c:v>43330</c:v>
                </c:pt>
                <c:pt idx="779">
                  <c:v>43331</c:v>
                </c:pt>
                <c:pt idx="780">
                  <c:v>43332</c:v>
                </c:pt>
                <c:pt idx="781">
                  <c:v>43333</c:v>
                </c:pt>
                <c:pt idx="782">
                  <c:v>43334</c:v>
                </c:pt>
                <c:pt idx="783">
                  <c:v>43335</c:v>
                </c:pt>
                <c:pt idx="784">
                  <c:v>43336</c:v>
                </c:pt>
                <c:pt idx="785">
                  <c:v>43337</c:v>
                </c:pt>
                <c:pt idx="786">
                  <c:v>43338</c:v>
                </c:pt>
                <c:pt idx="787">
                  <c:v>43339</c:v>
                </c:pt>
                <c:pt idx="788">
                  <c:v>43340</c:v>
                </c:pt>
                <c:pt idx="789">
                  <c:v>43341</c:v>
                </c:pt>
                <c:pt idx="790">
                  <c:v>43342</c:v>
                </c:pt>
                <c:pt idx="791">
                  <c:v>43343</c:v>
                </c:pt>
                <c:pt idx="792">
                  <c:v>43344</c:v>
                </c:pt>
                <c:pt idx="793">
                  <c:v>43345</c:v>
                </c:pt>
                <c:pt idx="794">
                  <c:v>43346</c:v>
                </c:pt>
                <c:pt idx="795">
                  <c:v>43347</c:v>
                </c:pt>
                <c:pt idx="796">
                  <c:v>43348</c:v>
                </c:pt>
                <c:pt idx="797">
                  <c:v>43349</c:v>
                </c:pt>
                <c:pt idx="798">
                  <c:v>43350</c:v>
                </c:pt>
                <c:pt idx="799">
                  <c:v>43351</c:v>
                </c:pt>
                <c:pt idx="800">
                  <c:v>43352</c:v>
                </c:pt>
                <c:pt idx="801">
                  <c:v>43353</c:v>
                </c:pt>
                <c:pt idx="802">
                  <c:v>43354</c:v>
                </c:pt>
                <c:pt idx="803">
                  <c:v>43355</c:v>
                </c:pt>
                <c:pt idx="804">
                  <c:v>43356</c:v>
                </c:pt>
                <c:pt idx="805">
                  <c:v>43357</c:v>
                </c:pt>
                <c:pt idx="806">
                  <c:v>43358</c:v>
                </c:pt>
                <c:pt idx="807">
                  <c:v>43359</c:v>
                </c:pt>
                <c:pt idx="808">
                  <c:v>43360</c:v>
                </c:pt>
                <c:pt idx="809">
                  <c:v>43361</c:v>
                </c:pt>
                <c:pt idx="810">
                  <c:v>43362</c:v>
                </c:pt>
                <c:pt idx="811">
                  <c:v>43363</c:v>
                </c:pt>
                <c:pt idx="812">
                  <c:v>43364</c:v>
                </c:pt>
                <c:pt idx="813">
                  <c:v>43365</c:v>
                </c:pt>
                <c:pt idx="814">
                  <c:v>43366</c:v>
                </c:pt>
                <c:pt idx="815">
                  <c:v>43367</c:v>
                </c:pt>
                <c:pt idx="816">
                  <c:v>43368</c:v>
                </c:pt>
                <c:pt idx="817">
                  <c:v>43369</c:v>
                </c:pt>
                <c:pt idx="818">
                  <c:v>43370</c:v>
                </c:pt>
                <c:pt idx="819">
                  <c:v>43371</c:v>
                </c:pt>
                <c:pt idx="820">
                  <c:v>43372</c:v>
                </c:pt>
                <c:pt idx="821">
                  <c:v>43373</c:v>
                </c:pt>
                <c:pt idx="822">
                  <c:v>43374</c:v>
                </c:pt>
                <c:pt idx="823">
                  <c:v>43375</c:v>
                </c:pt>
                <c:pt idx="824">
                  <c:v>43376</c:v>
                </c:pt>
                <c:pt idx="825">
                  <c:v>43377</c:v>
                </c:pt>
                <c:pt idx="826">
                  <c:v>43378</c:v>
                </c:pt>
                <c:pt idx="827">
                  <c:v>43379</c:v>
                </c:pt>
                <c:pt idx="828">
                  <c:v>43380</c:v>
                </c:pt>
                <c:pt idx="829">
                  <c:v>43381</c:v>
                </c:pt>
                <c:pt idx="830">
                  <c:v>43382</c:v>
                </c:pt>
                <c:pt idx="831">
                  <c:v>43383</c:v>
                </c:pt>
                <c:pt idx="832">
                  <c:v>43384</c:v>
                </c:pt>
                <c:pt idx="833">
                  <c:v>43385</c:v>
                </c:pt>
                <c:pt idx="834">
                  <c:v>43386</c:v>
                </c:pt>
                <c:pt idx="835">
                  <c:v>43387</c:v>
                </c:pt>
                <c:pt idx="836">
                  <c:v>43388</c:v>
                </c:pt>
                <c:pt idx="837">
                  <c:v>43389</c:v>
                </c:pt>
                <c:pt idx="838">
                  <c:v>43390</c:v>
                </c:pt>
                <c:pt idx="839">
                  <c:v>43391</c:v>
                </c:pt>
                <c:pt idx="840">
                  <c:v>43392</c:v>
                </c:pt>
                <c:pt idx="841">
                  <c:v>43393</c:v>
                </c:pt>
                <c:pt idx="842">
                  <c:v>43394</c:v>
                </c:pt>
                <c:pt idx="843">
                  <c:v>43395</c:v>
                </c:pt>
                <c:pt idx="844">
                  <c:v>43396</c:v>
                </c:pt>
                <c:pt idx="845">
                  <c:v>43397</c:v>
                </c:pt>
                <c:pt idx="846">
                  <c:v>43398</c:v>
                </c:pt>
                <c:pt idx="847">
                  <c:v>43399</c:v>
                </c:pt>
                <c:pt idx="848">
                  <c:v>43400</c:v>
                </c:pt>
                <c:pt idx="849">
                  <c:v>43401</c:v>
                </c:pt>
                <c:pt idx="850">
                  <c:v>43402</c:v>
                </c:pt>
                <c:pt idx="851">
                  <c:v>43403</c:v>
                </c:pt>
                <c:pt idx="852">
                  <c:v>43404</c:v>
                </c:pt>
                <c:pt idx="853">
                  <c:v>43405</c:v>
                </c:pt>
                <c:pt idx="854">
                  <c:v>43406</c:v>
                </c:pt>
                <c:pt idx="855">
                  <c:v>43407</c:v>
                </c:pt>
                <c:pt idx="856">
                  <c:v>43408</c:v>
                </c:pt>
                <c:pt idx="857">
                  <c:v>43409</c:v>
                </c:pt>
                <c:pt idx="858">
                  <c:v>43410</c:v>
                </c:pt>
                <c:pt idx="859">
                  <c:v>43411</c:v>
                </c:pt>
                <c:pt idx="860">
                  <c:v>43412</c:v>
                </c:pt>
                <c:pt idx="861">
                  <c:v>43413</c:v>
                </c:pt>
                <c:pt idx="862">
                  <c:v>43414</c:v>
                </c:pt>
                <c:pt idx="863">
                  <c:v>43415</c:v>
                </c:pt>
                <c:pt idx="864">
                  <c:v>43416</c:v>
                </c:pt>
                <c:pt idx="865">
                  <c:v>43417</c:v>
                </c:pt>
                <c:pt idx="866">
                  <c:v>43418</c:v>
                </c:pt>
                <c:pt idx="867">
                  <c:v>43419</c:v>
                </c:pt>
                <c:pt idx="868">
                  <c:v>43420</c:v>
                </c:pt>
                <c:pt idx="869">
                  <c:v>43421</c:v>
                </c:pt>
                <c:pt idx="870">
                  <c:v>43422</c:v>
                </c:pt>
                <c:pt idx="871">
                  <c:v>43423</c:v>
                </c:pt>
                <c:pt idx="872">
                  <c:v>43424</c:v>
                </c:pt>
                <c:pt idx="873">
                  <c:v>43425</c:v>
                </c:pt>
                <c:pt idx="874">
                  <c:v>43426</c:v>
                </c:pt>
                <c:pt idx="875">
                  <c:v>43427</c:v>
                </c:pt>
                <c:pt idx="876">
                  <c:v>43428</c:v>
                </c:pt>
                <c:pt idx="877">
                  <c:v>43429</c:v>
                </c:pt>
                <c:pt idx="878">
                  <c:v>43430</c:v>
                </c:pt>
                <c:pt idx="879">
                  <c:v>43431</c:v>
                </c:pt>
                <c:pt idx="880">
                  <c:v>43432</c:v>
                </c:pt>
                <c:pt idx="881">
                  <c:v>43433</c:v>
                </c:pt>
                <c:pt idx="882">
                  <c:v>43434</c:v>
                </c:pt>
                <c:pt idx="883">
                  <c:v>43435</c:v>
                </c:pt>
                <c:pt idx="884">
                  <c:v>43436</c:v>
                </c:pt>
                <c:pt idx="885">
                  <c:v>43437</c:v>
                </c:pt>
                <c:pt idx="886">
                  <c:v>43438</c:v>
                </c:pt>
                <c:pt idx="887">
                  <c:v>43439</c:v>
                </c:pt>
                <c:pt idx="888">
                  <c:v>43440</c:v>
                </c:pt>
                <c:pt idx="889">
                  <c:v>43441</c:v>
                </c:pt>
                <c:pt idx="890">
                  <c:v>43442</c:v>
                </c:pt>
                <c:pt idx="891">
                  <c:v>43443</c:v>
                </c:pt>
                <c:pt idx="892">
                  <c:v>43444</c:v>
                </c:pt>
                <c:pt idx="893">
                  <c:v>43445</c:v>
                </c:pt>
                <c:pt idx="894">
                  <c:v>43446</c:v>
                </c:pt>
                <c:pt idx="895">
                  <c:v>43447</c:v>
                </c:pt>
                <c:pt idx="896">
                  <c:v>43448</c:v>
                </c:pt>
                <c:pt idx="897">
                  <c:v>43449</c:v>
                </c:pt>
                <c:pt idx="898">
                  <c:v>43450</c:v>
                </c:pt>
                <c:pt idx="899">
                  <c:v>43451</c:v>
                </c:pt>
                <c:pt idx="900">
                  <c:v>43452</c:v>
                </c:pt>
                <c:pt idx="901">
                  <c:v>43453</c:v>
                </c:pt>
                <c:pt idx="902">
                  <c:v>43454</c:v>
                </c:pt>
                <c:pt idx="903">
                  <c:v>43455</c:v>
                </c:pt>
                <c:pt idx="904">
                  <c:v>43456</c:v>
                </c:pt>
                <c:pt idx="905">
                  <c:v>43457</c:v>
                </c:pt>
                <c:pt idx="906">
                  <c:v>43458</c:v>
                </c:pt>
                <c:pt idx="907">
                  <c:v>43459</c:v>
                </c:pt>
                <c:pt idx="908">
                  <c:v>43460</c:v>
                </c:pt>
                <c:pt idx="909">
                  <c:v>43461</c:v>
                </c:pt>
                <c:pt idx="910">
                  <c:v>43462</c:v>
                </c:pt>
                <c:pt idx="911">
                  <c:v>43463</c:v>
                </c:pt>
                <c:pt idx="912">
                  <c:v>43464</c:v>
                </c:pt>
                <c:pt idx="913">
                  <c:v>43465</c:v>
                </c:pt>
                <c:pt idx="914">
                  <c:v>43466</c:v>
                </c:pt>
                <c:pt idx="915">
                  <c:v>43467</c:v>
                </c:pt>
                <c:pt idx="916">
                  <c:v>43468</c:v>
                </c:pt>
                <c:pt idx="917">
                  <c:v>43469</c:v>
                </c:pt>
                <c:pt idx="918">
                  <c:v>43470</c:v>
                </c:pt>
                <c:pt idx="919">
                  <c:v>43471</c:v>
                </c:pt>
                <c:pt idx="920">
                  <c:v>43472</c:v>
                </c:pt>
                <c:pt idx="921">
                  <c:v>43473</c:v>
                </c:pt>
                <c:pt idx="922">
                  <c:v>43474</c:v>
                </c:pt>
                <c:pt idx="923">
                  <c:v>43475</c:v>
                </c:pt>
                <c:pt idx="924">
                  <c:v>43476</c:v>
                </c:pt>
                <c:pt idx="925">
                  <c:v>43477</c:v>
                </c:pt>
                <c:pt idx="926">
                  <c:v>43478</c:v>
                </c:pt>
                <c:pt idx="927">
                  <c:v>43479</c:v>
                </c:pt>
                <c:pt idx="928">
                  <c:v>43480</c:v>
                </c:pt>
                <c:pt idx="929">
                  <c:v>43481</c:v>
                </c:pt>
                <c:pt idx="930">
                  <c:v>43482</c:v>
                </c:pt>
                <c:pt idx="931">
                  <c:v>43483</c:v>
                </c:pt>
                <c:pt idx="932">
                  <c:v>43484</c:v>
                </c:pt>
                <c:pt idx="933">
                  <c:v>43485</c:v>
                </c:pt>
                <c:pt idx="934">
                  <c:v>43486</c:v>
                </c:pt>
                <c:pt idx="935">
                  <c:v>43487</c:v>
                </c:pt>
                <c:pt idx="936">
                  <c:v>43488</c:v>
                </c:pt>
                <c:pt idx="937">
                  <c:v>43489</c:v>
                </c:pt>
                <c:pt idx="938">
                  <c:v>43490</c:v>
                </c:pt>
                <c:pt idx="939">
                  <c:v>43491</c:v>
                </c:pt>
                <c:pt idx="940">
                  <c:v>43492</c:v>
                </c:pt>
                <c:pt idx="941">
                  <c:v>43493</c:v>
                </c:pt>
                <c:pt idx="942">
                  <c:v>43494</c:v>
                </c:pt>
                <c:pt idx="943">
                  <c:v>43495</c:v>
                </c:pt>
                <c:pt idx="944">
                  <c:v>43496</c:v>
                </c:pt>
                <c:pt idx="945">
                  <c:v>43497</c:v>
                </c:pt>
                <c:pt idx="946">
                  <c:v>43498</c:v>
                </c:pt>
                <c:pt idx="947">
                  <c:v>43499</c:v>
                </c:pt>
                <c:pt idx="948">
                  <c:v>43500</c:v>
                </c:pt>
                <c:pt idx="949">
                  <c:v>43501</c:v>
                </c:pt>
                <c:pt idx="950">
                  <c:v>43502</c:v>
                </c:pt>
                <c:pt idx="951">
                  <c:v>43503</c:v>
                </c:pt>
                <c:pt idx="952">
                  <c:v>43504</c:v>
                </c:pt>
                <c:pt idx="953">
                  <c:v>43505</c:v>
                </c:pt>
                <c:pt idx="954">
                  <c:v>43506</c:v>
                </c:pt>
                <c:pt idx="955">
                  <c:v>43507</c:v>
                </c:pt>
                <c:pt idx="956">
                  <c:v>43508</c:v>
                </c:pt>
                <c:pt idx="957">
                  <c:v>43509</c:v>
                </c:pt>
                <c:pt idx="958">
                  <c:v>43510</c:v>
                </c:pt>
                <c:pt idx="959">
                  <c:v>43511</c:v>
                </c:pt>
                <c:pt idx="960">
                  <c:v>43512</c:v>
                </c:pt>
                <c:pt idx="961">
                  <c:v>43513</c:v>
                </c:pt>
                <c:pt idx="962">
                  <c:v>43514</c:v>
                </c:pt>
                <c:pt idx="963">
                  <c:v>43515</c:v>
                </c:pt>
                <c:pt idx="964">
                  <c:v>43516</c:v>
                </c:pt>
                <c:pt idx="965">
                  <c:v>43517</c:v>
                </c:pt>
                <c:pt idx="966">
                  <c:v>43518</c:v>
                </c:pt>
                <c:pt idx="967">
                  <c:v>43519</c:v>
                </c:pt>
                <c:pt idx="968">
                  <c:v>43520</c:v>
                </c:pt>
                <c:pt idx="969">
                  <c:v>43521</c:v>
                </c:pt>
                <c:pt idx="970">
                  <c:v>43522</c:v>
                </c:pt>
                <c:pt idx="971">
                  <c:v>43523</c:v>
                </c:pt>
                <c:pt idx="972">
                  <c:v>43524</c:v>
                </c:pt>
                <c:pt idx="973">
                  <c:v>43525</c:v>
                </c:pt>
                <c:pt idx="974">
                  <c:v>43526</c:v>
                </c:pt>
                <c:pt idx="975">
                  <c:v>43527</c:v>
                </c:pt>
                <c:pt idx="976">
                  <c:v>43528</c:v>
                </c:pt>
                <c:pt idx="977">
                  <c:v>43529</c:v>
                </c:pt>
                <c:pt idx="978">
                  <c:v>43530</c:v>
                </c:pt>
                <c:pt idx="979">
                  <c:v>43531</c:v>
                </c:pt>
                <c:pt idx="980">
                  <c:v>43532</c:v>
                </c:pt>
                <c:pt idx="981">
                  <c:v>43533</c:v>
                </c:pt>
                <c:pt idx="982">
                  <c:v>43534</c:v>
                </c:pt>
                <c:pt idx="983">
                  <c:v>43535</c:v>
                </c:pt>
                <c:pt idx="984">
                  <c:v>43536</c:v>
                </c:pt>
                <c:pt idx="985">
                  <c:v>43537</c:v>
                </c:pt>
                <c:pt idx="986">
                  <c:v>43538</c:v>
                </c:pt>
                <c:pt idx="987">
                  <c:v>43539</c:v>
                </c:pt>
                <c:pt idx="988">
                  <c:v>43540</c:v>
                </c:pt>
                <c:pt idx="989">
                  <c:v>43541</c:v>
                </c:pt>
                <c:pt idx="990">
                  <c:v>43542</c:v>
                </c:pt>
                <c:pt idx="991">
                  <c:v>43543</c:v>
                </c:pt>
                <c:pt idx="992">
                  <c:v>43544</c:v>
                </c:pt>
                <c:pt idx="993">
                  <c:v>43545</c:v>
                </c:pt>
                <c:pt idx="994">
                  <c:v>43546</c:v>
                </c:pt>
                <c:pt idx="995">
                  <c:v>43547</c:v>
                </c:pt>
                <c:pt idx="996">
                  <c:v>43548</c:v>
                </c:pt>
                <c:pt idx="997">
                  <c:v>43549</c:v>
                </c:pt>
                <c:pt idx="998">
                  <c:v>43550</c:v>
                </c:pt>
                <c:pt idx="999">
                  <c:v>43551</c:v>
                </c:pt>
                <c:pt idx="1000">
                  <c:v>43552</c:v>
                </c:pt>
                <c:pt idx="1001">
                  <c:v>43553</c:v>
                </c:pt>
                <c:pt idx="1002">
                  <c:v>43554</c:v>
                </c:pt>
                <c:pt idx="1003">
                  <c:v>43555</c:v>
                </c:pt>
                <c:pt idx="1004">
                  <c:v>43556</c:v>
                </c:pt>
                <c:pt idx="1005">
                  <c:v>43557</c:v>
                </c:pt>
                <c:pt idx="1006">
                  <c:v>43558</c:v>
                </c:pt>
                <c:pt idx="1007">
                  <c:v>43559</c:v>
                </c:pt>
                <c:pt idx="1008">
                  <c:v>43560</c:v>
                </c:pt>
                <c:pt idx="1009">
                  <c:v>43561</c:v>
                </c:pt>
                <c:pt idx="1010">
                  <c:v>43562</c:v>
                </c:pt>
                <c:pt idx="1011">
                  <c:v>43563</c:v>
                </c:pt>
                <c:pt idx="1012">
                  <c:v>43564</c:v>
                </c:pt>
                <c:pt idx="1013">
                  <c:v>43565</c:v>
                </c:pt>
                <c:pt idx="1014">
                  <c:v>43566</c:v>
                </c:pt>
                <c:pt idx="1015">
                  <c:v>43567</c:v>
                </c:pt>
                <c:pt idx="1016">
                  <c:v>43568</c:v>
                </c:pt>
                <c:pt idx="1017">
                  <c:v>43569</c:v>
                </c:pt>
                <c:pt idx="1018">
                  <c:v>43570</c:v>
                </c:pt>
                <c:pt idx="1019">
                  <c:v>43571</c:v>
                </c:pt>
                <c:pt idx="1020">
                  <c:v>43572</c:v>
                </c:pt>
                <c:pt idx="1021">
                  <c:v>43573</c:v>
                </c:pt>
                <c:pt idx="1022">
                  <c:v>43574</c:v>
                </c:pt>
                <c:pt idx="1023">
                  <c:v>43575</c:v>
                </c:pt>
                <c:pt idx="1024">
                  <c:v>43576</c:v>
                </c:pt>
                <c:pt idx="1025">
                  <c:v>43577</c:v>
                </c:pt>
                <c:pt idx="1026">
                  <c:v>43578</c:v>
                </c:pt>
                <c:pt idx="1027">
                  <c:v>43579</c:v>
                </c:pt>
                <c:pt idx="1028">
                  <c:v>43580</c:v>
                </c:pt>
                <c:pt idx="1029">
                  <c:v>43581</c:v>
                </c:pt>
                <c:pt idx="1030">
                  <c:v>43582</c:v>
                </c:pt>
                <c:pt idx="1031">
                  <c:v>43583</c:v>
                </c:pt>
                <c:pt idx="1032">
                  <c:v>43584</c:v>
                </c:pt>
                <c:pt idx="1033">
                  <c:v>43585</c:v>
                </c:pt>
                <c:pt idx="1034">
                  <c:v>43586</c:v>
                </c:pt>
                <c:pt idx="1035">
                  <c:v>43587</c:v>
                </c:pt>
                <c:pt idx="1036">
                  <c:v>43588</c:v>
                </c:pt>
                <c:pt idx="1037">
                  <c:v>43589</c:v>
                </c:pt>
                <c:pt idx="1038">
                  <c:v>43590</c:v>
                </c:pt>
                <c:pt idx="1039">
                  <c:v>43591</c:v>
                </c:pt>
                <c:pt idx="1040">
                  <c:v>43592</c:v>
                </c:pt>
                <c:pt idx="1041">
                  <c:v>43593</c:v>
                </c:pt>
                <c:pt idx="1042">
                  <c:v>43594</c:v>
                </c:pt>
                <c:pt idx="1043">
                  <c:v>43595</c:v>
                </c:pt>
                <c:pt idx="1044">
                  <c:v>43596</c:v>
                </c:pt>
                <c:pt idx="1045">
                  <c:v>43597</c:v>
                </c:pt>
                <c:pt idx="1046">
                  <c:v>43598</c:v>
                </c:pt>
                <c:pt idx="1047">
                  <c:v>43599</c:v>
                </c:pt>
                <c:pt idx="1048">
                  <c:v>43600</c:v>
                </c:pt>
                <c:pt idx="1049">
                  <c:v>43601</c:v>
                </c:pt>
                <c:pt idx="1050">
                  <c:v>43602</c:v>
                </c:pt>
                <c:pt idx="1051">
                  <c:v>43603</c:v>
                </c:pt>
                <c:pt idx="1052">
                  <c:v>43604</c:v>
                </c:pt>
                <c:pt idx="1053">
                  <c:v>43605</c:v>
                </c:pt>
                <c:pt idx="1054">
                  <c:v>43606</c:v>
                </c:pt>
                <c:pt idx="1055">
                  <c:v>43607</c:v>
                </c:pt>
                <c:pt idx="1056">
                  <c:v>43608</c:v>
                </c:pt>
                <c:pt idx="1057">
                  <c:v>43609</c:v>
                </c:pt>
                <c:pt idx="1058">
                  <c:v>43610</c:v>
                </c:pt>
                <c:pt idx="1059">
                  <c:v>43611</c:v>
                </c:pt>
                <c:pt idx="1060">
                  <c:v>43612</c:v>
                </c:pt>
                <c:pt idx="1061">
                  <c:v>43613</c:v>
                </c:pt>
                <c:pt idx="1062">
                  <c:v>43614</c:v>
                </c:pt>
                <c:pt idx="1063">
                  <c:v>43615</c:v>
                </c:pt>
                <c:pt idx="1064">
                  <c:v>43616</c:v>
                </c:pt>
                <c:pt idx="1065">
                  <c:v>43617</c:v>
                </c:pt>
                <c:pt idx="1066">
                  <c:v>43618</c:v>
                </c:pt>
                <c:pt idx="1067">
                  <c:v>43619</c:v>
                </c:pt>
                <c:pt idx="1068">
                  <c:v>43620</c:v>
                </c:pt>
                <c:pt idx="1069">
                  <c:v>43621</c:v>
                </c:pt>
                <c:pt idx="1070">
                  <c:v>43622</c:v>
                </c:pt>
                <c:pt idx="1071">
                  <c:v>43623</c:v>
                </c:pt>
                <c:pt idx="1072">
                  <c:v>43624</c:v>
                </c:pt>
                <c:pt idx="1073">
                  <c:v>43625</c:v>
                </c:pt>
                <c:pt idx="1074">
                  <c:v>43626</c:v>
                </c:pt>
                <c:pt idx="1075">
                  <c:v>43627</c:v>
                </c:pt>
                <c:pt idx="1076">
                  <c:v>43628</c:v>
                </c:pt>
                <c:pt idx="1077">
                  <c:v>43629</c:v>
                </c:pt>
                <c:pt idx="1078">
                  <c:v>43630</c:v>
                </c:pt>
                <c:pt idx="1079">
                  <c:v>43631</c:v>
                </c:pt>
                <c:pt idx="1080">
                  <c:v>43632</c:v>
                </c:pt>
                <c:pt idx="1081">
                  <c:v>43633</c:v>
                </c:pt>
                <c:pt idx="1082">
                  <c:v>43634</c:v>
                </c:pt>
                <c:pt idx="1083">
                  <c:v>43635</c:v>
                </c:pt>
                <c:pt idx="1084">
                  <c:v>43636</c:v>
                </c:pt>
                <c:pt idx="1085">
                  <c:v>43637</c:v>
                </c:pt>
                <c:pt idx="1086">
                  <c:v>43638</c:v>
                </c:pt>
                <c:pt idx="1087">
                  <c:v>43639</c:v>
                </c:pt>
                <c:pt idx="1088">
                  <c:v>43640</c:v>
                </c:pt>
                <c:pt idx="1089">
                  <c:v>43641</c:v>
                </c:pt>
                <c:pt idx="1090">
                  <c:v>43642</c:v>
                </c:pt>
                <c:pt idx="1091">
                  <c:v>43643</c:v>
                </c:pt>
                <c:pt idx="1092">
                  <c:v>43644</c:v>
                </c:pt>
                <c:pt idx="1093">
                  <c:v>43645</c:v>
                </c:pt>
                <c:pt idx="1094">
                  <c:v>43646</c:v>
                </c:pt>
                <c:pt idx="1095">
                  <c:v>43647</c:v>
                </c:pt>
                <c:pt idx="1096">
                  <c:v>43648</c:v>
                </c:pt>
                <c:pt idx="1097">
                  <c:v>43649</c:v>
                </c:pt>
                <c:pt idx="1098">
                  <c:v>43650</c:v>
                </c:pt>
                <c:pt idx="1099">
                  <c:v>43651</c:v>
                </c:pt>
                <c:pt idx="1100">
                  <c:v>43652</c:v>
                </c:pt>
                <c:pt idx="1101">
                  <c:v>43653</c:v>
                </c:pt>
                <c:pt idx="1102">
                  <c:v>43654</c:v>
                </c:pt>
                <c:pt idx="1103">
                  <c:v>43655</c:v>
                </c:pt>
                <c:pt idx="1104">
                  <c:v>43656</c:v>
                </c:pt>
                <c:pt idx="1105">
                  <c:v>43657</c:v>
                </c:pt>
                <c:pt idx="1106">
                  <c:v>43658</c:v>
                </c:pt>
                <c:pt idx="1107">
                  <c:v>43659</c:v>
                </c:pt>
                <c:pt idx="1108">
                  <c:v>43660</c:v>
                </c:pt>
                <c:pt idx="1109">
                  <c:v>43661</c:v>
                </c:pt>
                <c:pt idx="1110">
                  <c:v>43662</c:v>
                </c:pt>
                <c:pt idx="1111">
                  <c:v>43663</c:v>
                </c:pt>
                <c:pt idx="1112">
                  <c:v>43664</c:v>
                </c:pt>
                <c:pt idx="1113">
                  <c:v>43665</c:v>
                </c:pt>
                <c:pt idx="1114">
                  <c:v>43666</c:v>
                </c:pt>
                <c:pt idx="1115">
                  <c:v>43667</c:v>
                </c:pt>
                <c:pt idx="1116">
                  <c:v>43668</c:v>
                </c:pt>
                <c:pt idx="1117">
                  <c:v>43669</c:v>
                </c:pt>
                <c:pt idx="1118">
                  <c:v>43670</c:v>
                </c:pt>
                <c:pt idx="1119">
                  <c:v>43671</c:v>
                </c:pt>
                <c:pt idx="1120">
                  <c:v>43672</c:v>
                </c:pt>
                <c:pt idx="1121">
                  <c:v>43673</c:v>
                </c:pt>
                <c:pt idx="1122">
                  <c:v>43674</c:v>
                </c:pt>
                <c:pt idx="1123">
                  <c:v>43675</c:v>
                </c:pt>
                <c:pt idx="1124">
                  <c:v>43676</c:v>
                </c:pt>
                <c:pt idx="1125">
                  <c:v>43677</c:v>
                </c:pt>
                <c:pt idx="1126">
                  <c:v>43678</c:v>
                </c:pt>
                <c:pt idx="1127">
                  <c:v>43679</c:v>
                </c:pt>
                <c:pt idx="1128">
                  <c:v>43680</c:v>
                </c:pt>
                <c:pt idx="1129">
                  <c:v>43681</c:v>
                </c:pt>
                <c:pt idx="1130">
                  <c:v>43682</c:v>
                </c:pt>
                <c:pt idx="1131">
                  <c:v>43683</c:v>
                </c:pt>
                <c:pt idx="1132">
                  <c:v>43684</c:v>
                </c:pt>
                <c:pt idx="1133">
                  <c:v>43685</c:v>
                </c:pt>
                <c:pt idx="1134">
                  <c:v>43686</c:v>
                </c:pt>
                <c:pt idx="1135">
                  <c:v>43687</c:v>
                </c:pt>
                <c:pt idx="1136">
                  <c:v>43688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43694</c:v>
                </c:pt>
                <c:pt idx="1143">
                  <c:v>43695</c:v>
                </c:pt>
                <c:pt idx="1144">
                  <c:v>43696</c:v>
                </c:pt>
                <c:pt idx="1145">
                  <c:v>43697</c:v>
                </c:pt>
                <c:pt idx="1146">
                  <c:v>43698</c:v>
                </c:pt>
                <c:pt idx="1147">
                  <c:v>43699</c:v>
                </c:pt>
                <c:pt idx="1148">
                  <c:v>43700</c:v>
                </c:pt>
                <c:pt idx="1149">
                  <c:v>43701</c:v>
                </c:pt>
                <c:pt idx="1150">
                  <c:v>43702</c:v>
                </c:pt>
                <c:pt idx="1151">
                  <c:v>43703</c:v>
                </c:pt>
                <c:pt idx="1152">
                  <c:v>43704</c:v>
                </c:pt>
                <c:pt idx="1153">
                  <c:v>43705</c:v>
                </c:pt>
                <c:pt idx="1154">
                  <c:v>43706</c:v>
                </c:pt>
                <c:pt idx="1155">
                  <c:v>43707</c:v>
                </c:pt>
                <c:pt idx="1156">
                  <c:v>43708</c:v>
                </c:pt>
                <c:pt idx="1157">
                  <c:v>43709</c:v>
                </c:pt>
                <c:pt idx="1158">
                  <c:v>43710</c:v>
                </c:pt>
                <c:pt idx="1159">
                  <c:v>43711</c:v>
                </c:pt>
                <c:pt idx="1160">
                  <c:v>43712</c:v>
                </c:pt>
                <c:pt idx="1161">
                  <c:v>43713</c:v>
                </c:pt>
                <c:pt idx="1162">
                  <c:v>43714</c:v>
                </c:pt>
                <c:pt idx="1163">
                  <c:v>43715</c:v>
                </c:pt>
                <c:pt idx="1164">
                  <c:v>43716</c:v>
                </c:pt>
                <c:pt idx="1165">
                  <c:v>43717</c:v>
                </c:pt>
                <c:pt idx="1166">
                  <c:v>43718</c:v>
                </c:pt>
                <c:pt idx="1167">
                  <c:v>43719</c:v>
                </c:pt>
                <c:pt idx="1168">
                  <c:v>43720</c:v>
                </c:pt>
                <c:pt idx="1169">
                  <c:v>43721</c:v>
                </c:pt>
                <c:pt idx="1170">
                  <c:v>43722</c:v>
                </c:pt>
                <c:pt idx="1171">
                  <c:v>43723</c:v>
                </c:pt>
                <c:pt idx="1172">
                  <c:v>43724</c:v>
                </c:pt>
                <c:pt idx="1173">
                  <c:v>43725</c:v>
                </c:pt>
                <c:pt idx="1174">
                  <c:v>43726</c:v>
                </c:pt>
                <c:pt idx="1175">
                  <c:v>43727</c:v>
                </c:pt>
                <c:pt idx="1176">
                  <c:v>43728</c:v>
                </c:pt>
                <c:pt idx="1177">
                  <c:v>43729</c:v>
                </c:pt>
                <c:pt idx="1178">
                  <c:v>43730</c:v>
                </c:pt>
                <c:pt idx="1179">
                  <c:v>43731</c:v>
                </c:pt>
                <c:pt idx="1180">
                  <c:v>43732</c:v>
                </c:pt>
                <c:pt idx="1181">
                  <c:v>43733</c:v>
                </c:pt>
                <c:pt idx="1182">
                  <c:v>43734</c:v>
                </c:pt>
                <c:pt idx="1183">
                  <c:v>43735</c:v>
                </c:pt>
                <c:pt idx="1184">
                  <c:v>43736</c:v>
                </c:pt>
                <c:pt idx="1185">
                  <c:v>43737</c:v>
                </c:pt>
                <c:pt idx="1186">
                  <c:v>43738</c:v>
                </c:pt>
                <c:pt idx="1187">
                  <c:v>43739</c:v>
                </c:pt>
                <c:pt idx="1188">
                  <c:v>43740</c:v>
                </c:pt>
                <c:pt idx="1189">
                  <c:v>43741</c:v>
                </c:pt>
                <c:pt idx="1190">
                  <c:v>43742</c:v>
                </c:pt>
                <c:pt idx="1191">
                  <c:v>43743</c:v>
                </c:pt>
                <c:pt idx="1192">
                  <c:v>43744</c:v>
                </c:pt>
                <c:pt idx="1193">
                  <c:v>43745</c:v>
                </c:pt>
                <c:pt idx="1194">
                  <c:v>43746</c:v>
                </c:pt>
                <c:pt idx="1195">
                  <c:v>43747</c:v>
                </c:pt>
                <c:pt idx="1196">
                  <c:v>43748</c:v>
                </c:pt>
                <c:pt idx="1197">
                  <c:v>43749</c:v>
                </c:pt>
                <c:pt idx="1198">
                  <c:v>43750</c:v>
                </c:pt>
                <c:pt idx="1199">
                  <c:v>43751</c:v>
                </c:pt>
                <c:pt idx="1200">
                  <c:v>43752</c:v>
                </c:pt>
                <c:pt idx="1201">
                  <c:v>43753</c:v>
                </c:pt>
                <c:pt idx="1202">
                  <c:v>43754</c:v>
                </c:pt>
                <c:pt idx="1203">
                  <c:v>43755</c:v>
                </c:pt>
                <c:pt idx="1204">
                  <c:v>43756</c:v>
                </c:pt>
                <c:pt idx="1205">
                  <c:v>43757</c:v>
                </c:pt>
                <c:pt idx="1206">
                  <c:v>43758</c:v>
                </c:pt>
                <c:pt idx="1207">
                  <c:v>43759</c:v>
                </c:pt>
                <c:pt idx="1208">
                  <c:v>43760</c:v>
                </c:pt>
                <c:pt idx="1209">
                  <c:v>43761</c:v>
                </c:pt>
                <c:pt idx="1210">
                  <c:v>43762</c:v>
                </c:pt>
                <c:pt idx="1211">
                  <c:v>43763</c:v>
                </c:pt>
                <c:pt idx="1212">
                  <c:v>43764</c:v>
                </c:pt>
                <c:pt idx="1213">
                  <c:v>43765</c:v>
                </c:pt>
                <c:pt idx="1214">
                  <c:v>43766</c:v>
                </c:pt>
                <c:pt idx="1215">
                  <c:v>43767</c:v>
                </c:pt>
                <c:pt idx="1216">
                  <c:v>43768</c:v>
                </c:pt>
                <c:pt idx="1217">
                  <c:v>43769</c:v>
                </c:pt>
                <c:pt idx="1218">
                  <c:v>43770</c:v>
                </c:pt>
                <c:pt idx="1219">
                  <c:v>43771</c:v>
                </c:pt>
                <c:pt idx="1220">
                  <c:v>43772</c:v>
                </c:pt>
                <c:pt idx="1221">
                  <c:v>43773</c:v>
                </c:pt>
                <c:pt idx="1222">
                  <c:v>43774</c:v>
                </c:pt>
                <c:pt idx="1223">
                  <c:v>43775</c:v>
                </c:pt>
                <c:pt idx="1224">
                  <c:v>43776</c:v>
                </c:pt>
                <c:pt idx="1225">
                  <c:v>43777</c:v>
                </c:pt>
                <c:pt idx="1226">
                  <c:v>43778</c:v>
                </c:pt>
                <c:pt idx="1227">
                  <c:v>43779</c:v>
                </c:pt>
                <c:pt idx="1228">
                  <c:v>43780</c:v>
                </c:pt>
                <c:pt idx="1229">
                  <c:v>43781</c:v>
                </c:pt>
                <c:pt idx="1230">
                  <c:v>43782</c:v>
                </c:pt>
                <c:pt idx="1231">
                  <c:v>43783</c:v>
                </c:pt>
                <c:pt idx="1232">
                  <c:v>43784</c:v>
                </c:pt>
                <c:pt idx="1233">
                  <c:v>43785</c:v>
                </c:pt>
                <c:pt idx="1234">
                  <c:v>43786</c:v>
                </c:pt>
                <c:pt idx="1235">
                  <c:v>43787</c:v>
                </c:pt>
                <c:pt idx="1236">
                  <c:v>43788</c:v>
                </c:pt>
                <c:pt idx="1237">
                  <c:v>43789</c:v>
                </c:pt>
                <c:pt idx="1238">
                  <c:v>43790</c:v>
                </c:pt>
                <c:pt idx="1239">
                  <c:v>43791</c:v>
                </c:pt>
                <c:pt idx="1240">
                  <c:v>43792</c:v>
                </c:pt>
                <c:pt idx="1241">
                  <c:v>43793</c:v>
                </c:pt>
                <c:pt idx="1242">
                  <c:v>43794</c:v>
                </c:pt>
                <c:pt idx="1243">
                  <c:v>43795</c:v>
                </c:pt>
                <c:pt idx="1244">
                  <c:v>43796</c:v>
                </c:pt>
                <c:pt idx="1245">
                  <c:v>43797</c:v>
                </c:pt>
                <c:pt idx="1246">
                  <c:v>43798</c:v>
                </c:pt>
                <c:pt idx="1247">
                  <c:v>43799</c:v>
                </c:pt>
                <c:pt idx="1248">
                  <c:v>43800</c:v>
                </c:pt>
                <c:pt idx="1249">
                  <c:v>43801</c:v>
                </c:pt>
                <c:pt idx="1250">
                  <c:v>43802</c:v>
                </c:pt>
                <c:pt idx="1251">
                  <c:v>43803</c:v>
                </c:pt>
                <c:pt idx="1252">
                  <c:v>43804</c:v>
                </c:pt>
                <c:pt idx="1253">
                  <c:v>43805</c:v>
                </c:pt>
                <c:pt idx="1254">
                  <c:v>43806</c:v>
                </c:pt>
                <c:pt idx="1255">
                  <c:v>43807</c:v>
                </c:pt>
                <c:pt idx="1256">
                  <c:v>43808</c:v>
                </c:pt>
                <c:pt idx="1257">
                  <c:v>43809</c:v>
                </c:pt>
                <c:pt idx="1258">
                  <c:v>43810</c:v>
                </c:pt>
                <c:pt idx="1259">
                  <c:v>43811</c:v>
                </c:pt>
                <c:pt idx="1260">
                  <c:v>43812</c:v>
                </c:pt>
                <c:pt idx="1261">
                  <c:v>43813</c:v>
                </c:pt>
                <c:pt idx="1262">
                  <c:v>43814</c:v>
                </c:pt>
                <c:pt idx="1263">
                  <c:v>43815</c:v>
                </c:pt>
                <c:pt idx="1264">
                  <c:v>43816</c:v>
                </c:pt>
                <c:pt idx="1265">
                  <c:v>43817</c:v>
                </c:pt>
                <c:pt idx="1266">
                  <c:v>43818</c:v>
                </c:pt>
                <c:pt idx="1267">
                  <c:v>43819</c:v>
                </c:pt>
                <c:pt idx="1268">
                  <c:v>43820</c:v>
                </c:pt>
                <c:pt idx="1269">
                  <c:v>43821</c:v>
                </c:pt>
                <c:pt idx="1270">
                  <c:v>43822</c:v>
                </c:pt>
                <c:pt idx="1271">
                  <c:v>43823</c:v>
                </c:pt>
                <c:pt idx="1272">
                  <c:v>43824</c:v>
                </c:pt>
                <c:pt idx="1273">
                  <c:v>43825</c:v>
                </c:pt>
                <c:pt idx="1274">
                  <c:v>43826</c:v>
                </c:pt>
                <c:pt idx="1275">
                  <c:v>43827</c:v>
                </c:pt>
                <c:pt idx="1276">
                  <c:v>43828</c:v>
                </c:pt>
                <c:pt idx="1277">
                  <c:v>43829</c:v>
                </c:pt>
                <c:pt idx="1278">
                  <c:v>43830</c:v>
                </c:pt>
                <c:pt idx="1279">
                  <c:v>43831</c:v>
                </c:pt>
                <c:pt idx="1280">
                  <c:v>43832</c:v>
                </c:pt>
                <c:pt idx="1281">
                  <c:v>43833</c:v>
                </c:pt>
                <c:pt idx="1282">
                  <c:v>43834</c:v>
                </c:pt>
                <c:pt idx="1283">
                  <c:v>43835</c:v>
                </c:pt>
                <c:pt idx="1284">
                  <c:v>43836</c:v>
                </c:pt>
                <c:pt idx="1285">
                  <c:v>43837</c:v>
                </c:pt>
                <c:pt idx="1286">
                  <c:v>43838</c:v>
                </c:pt>
                <c:pt idx="1287">
                  <c:v>43839</c:v>
                </c:pt>
                <c:pt idx="1288">
                  <c:v>43840</c:v>
                </c:pt>
                <c:pt idx="1289">
                  <c:v>43841</c:v>
                </c:pt>
                <c:pt idx="1290">
                  <c:v>43842</c:v>
                </c:pt>
                <c:pt idx="1291">
                  <c:v>43843</c:v>
                </c:pt>
                <c:pt idx="1292">
                  <c:v>43844</c:v>
                </c:pt>
                <c:pt idx="1293">
                  <c:v>43845</c:v>
                </c:pt>
                <c:pt idx="1294">
                  <c:v>43846</c:v>
                </c:pt>
                <c:pt idx="1295">
                  <c:v>43847</c:v>
                </c:pt>
                <c:pt idx="1296">
                  <c:v>43848</c:v>
                </c:pt>
                <c:pt idx="1297">
                  <c:v>43849</c:v>
                </c:pt>
                <c:pt idx="1298">
                  <c:v>43850</c:v>
                </c:pt>
                <c:pt idx="1299">
                  <c:v>43851</c:v>
                </c:pt>
                <c:pt idx="1300">
                  <c:v>43852</c:v>
                </c:pt>
                <c:pt idx="1301">
                  <c:v>43853</c:v>
                </c:pt>
                <c:pt idx="1302">
                  <c:v>43854</c:v>
                </c:pt>
                <c:pt idx="1303">
                  <c:v>43855</c:v>
                </c:pt>
                <c:pt idx="1304">
                  <c:v>43856</c:v>
                </c:pt>
                <c:pt idx="1305">
                  <c:v>43857</c:v>
                </c:pt>
                <c:pt idx="1306">
                  <c:v>43858</c:v>
                </c:pt>
                <c:pt idx="1307">
                  <c:v>43859</c:v>
                </c:pt>
                <c:pt idx="1308">
                  <c:v>43860</c:v>
                </c:pt>
                <c:pt idx="1309">
                  <c:v>43861</c:v>
                </c:pt>
                <c:pt idx="1310">
                  <c:v>43862</c:v>
                </c:pt>
                <c:pt idx="1311">
                  <c:v>43863</c:v>
                </c:pt>
                <c:pt idx="1312">
                  <c:v>43864</c:v>
                </c:pt>
                <c:pt idx="1313">
                  <c:v>43865</c:v>
                </c:pt>
                <c:pt idx="1314">
                  <c:v>43866</c:v>
                </c:pt>
                <c:pt idx="1315">
                  <c:v>43867</c:v>
                </c:pt>
                <c:pt idx="1316">
                  <c:v>43868</c:v>
                </c:pt>
                <c:pt idx="1317">
                  <c:v>43869</c:v>
                </c:pt>
                <c:pt idx="1318">
                  <c:v>43870</c:v>
                </c:pt>
                <c:pt idx="1319">
                  <c:v>43871</c:v>
                </c:pt>
                <c:pt idx="1320">
                  <c:v>43872</c:v>
                </c:pt>
                <c:pt idx="1321">
                  <c:v>43873</c:v>
                </c:pt>
                <c:pt idx="1322">
                  <c:v>43874</c:v>
                </c:pt>
                <c:pt idx="1323">
                  <c:v>43875</c:v>
                </c:pt>
                <c:pt idx="1324">
                  <c:v>43876</c:v>
                </c:pt>
                <c:pt idx="1325">
                  <c:v>43877</c:v>
                </c:pt>
                <c:pt idx="1326">
                  <c:v>43878</c:v>
                </c:pt>
                <c:pt idx="1327">
                  <c:v>43879</c:v>
                </c:pt>
                <c:pt idx="1328">
                  <c:v>43880</c:v>
                </c:pt>
                <c:pt idx="1329">
                  <c:v>43881</c:v>
                </c:pt>
                <c:pt idx="1330">
                  <c:v>43882</c:v>
                </c:pt>
                <c:pt idx="1331">
                  <c:v>43883</c:v>
                </c:pt>
                <c:pt idx="1332">
                  <c:v>43884</c:v>
                </c:pt>
                <c:pt idx="1333">
                  <c:v>43885</c:v>
                </c:pt>
                <c:pt idx="1334">
                  <c:v>43886</c:v>
                </c:pt>
                <c:pt idx="1335">
                  <c:v>43887</c:v>
                </c:pt>
                <c:pt idx="1336">
                  <c:v>43888</c:v>
                </c:pt>
                <c:pt idx="1337">
                  <c:v>43889</c:v>
                </c:pt>
                <c:pt idx="1338">
                  <c:v>43890</c:v>
                </c:pt>
                <c:pt idx="1339">
                  <c:v>43891</c:v>
                </c:pt>
                <c:pt idx="1340">
                  <c:v>43892</c:v>
                </c:pt>
                <c:pt idx="1341">
                  <c:v>43893</c:v>
                </c:pt>
                <c:pt idx="1342">
                  <c:v>43894</c:v>
                </c:pt>
                <c:pt idx="1343">
                  <c:v>43895</c:v>
                </c:pt>
                <c:pt idx="1344">
                  <c:v>43896</c:v>
                </c:pt>
                <c:pt idx="1345">
                  <c:v>43897</c:v>
                </c:pt>
                <c:pt idx="1346">
                  <c:v>43898</c:v>
                </c:pt>
                <c:pt idx="1347">
                  <c:v>43899</c:v>
                </c:pt>
                <c:pt idx="1348">
                  <c:v>43900</c:v>
                </c:pt>
                <c:pt idx="1349">
                  <c:v>43901</c:v>
                </c:pt>
                <c:pt idx="1350">
                  <c:v>43902</c:v>
                </c:pt>
                <c:pt idx="1351">
                  <c:v>43903</c:v>
                </c:pt>
                <c:pt idx="1352">
                  <c:v>43904</c:v>
                </c:pt>
                <c:pt idx="1353">
                  <c:v>43905</c:v>
                </c:pt>
                <c:pt idx="1354">
                  <c:v>43906</c:v>
                </c:pt>
                <c:pt idx="1355">
                  <c:v>43907</c:v>
                </c:pt>
                <c:pt idx="1356">
                  <c:v>43908</c:v>
                </c:pt>
                <c:pt idx="1357">
                  <c:v>43909</c:v>
                </c:pt>
                <c:pt idx="1358">
                  <c:v>43910</c:v>
                </c:pt>
                <c:pt idx="1359">
                  <c:v>43911</c:v>
                </c:pt>
                <c:pt idx="1360">
                  <c:v>43912</c:v>
                </c:pt>
                <c:pt idx="1361">
                  <c:v>43913</c:v>
                </c:pt>
                <c:pt idx="1362">
                  <c:v>43914</c:v>
                </c:pt>
                <c:pt idx="1363">
                  <c:v>43915</c:v>
                </c:pt>
                <c:pt idx="1364">
                  <c:v>43916</c:v>
                </c:pt>
                <c:pt idx="1365">
                  <c:v>43917</c:v>
                </c:pt>
                <c:pt idx="1366">
                  <c:v>43918</c:v>
                </c:pt>
                <c:pt idx="1367">
                  <c:v>43919</c:v>
                </c:pt>
                <c:pt idx="1368">
                  <c:v>43920</c:v>
                </c:pt>
                <c:pt idx="1369">
                  <c:v>43921</c:v>
                </c:pt>
                <c:pt idx="1370">
                  <c:v>43922</c:v>
                </c:pt>
                <c:pt idx="1371">
                  <c:v>43923</c:v>
                </c:pt>
                <c:pt idx="1372">
                  <c:v>43924</c:v>
                </c:pt>
                <c:pt idx="1373">
                  <c:v>43925</c:v>
                </c:pt>
                <c:pt idx="1374">
                  <c:v>43926</c:v>
                </c:pt>
                <c:pt idx="1375">
                  <c:v>43927</c:v>
                </c:pt>
                <c:pt idx="1376">
                  <c:v>43928</c:v>
                </c:pt>
                <c:pt idx="1377">
                  <c:v>43929</c:v>
                </c:pt>
                <c:pt idx="1378">
                  <c:v>43930</c:v>
                </c:pt>
                <c:pt idx="1379">
                  <c:v>43931</c:v>
                </c:pt>
                <c:pt idx="1380">
                  <c:v>43932</c:v>
                </c:pt>
                <c:pt idx="1381">
                  <c:v>43933</c:v>
                </c:pt>
                <c:pt idx="1382">
                  <c:v>43934</c:v>
                </c:pt>
                <c:pt idx="1383">
                  <c:v>43935</c:v>
                </c:pt>
                <c:pt idx="1384">
                  <c:v>43936</c:v>
                </c:pt>
                <c:pt idx="1385">
                  <c:v>43937</c:v>
                </c:pt>
                <c:pt idx="1386">
                  <c:v>43938</c:v>
                </c:pt>
                <c:pt idx="1387">
                  <c:v>43939</c:v>
                </c:pt>
                <c:pt idx="1388">
                  <c:v>43940</c:v>
                </c:pt>
                <c:pt idx="1389">
                  <c:v>43941</c:v>
                </c:pt>
                <c:pt idx="1390">
                  <c:v>43942</c:v>
                </c:pt>
                <c:pt idx="1391">
                  <c:v>43943</c:v>
                </c:pt>
                <c:pt idx="1392">
                  <c:v>43944</c:v>
                </c:pt>
                <c:pt idx="1393">
                  <c:v>43945</c:v>
                </c:pt>
                <c:pt idx="1394">
                  <c:v>43946</c:v>
                </c:pt>
                <c:pt idx="1395">
                  <c:v>43947</c:v>
                </c:pt>
                <c:pt idx="1396">
                  <c:v>43948</c:v>
                </c:pt>
                <c:pt idx="1397">
                  <c:v>43949</c:v>
                </c:pt>
                <c:pt idx="1398">
                  <c:v>43950</c:v>
                </c:pt>
                <c:pt idx="1399">
                  <c:v>43951</c:v>
                </c:pt>
                <c:pt idx="1400">
                  <c:v>43952</c:v>
                </c:pt>
                <c:pt idx="1401">
                  <c:v>43953</c:v>
                </c:pt>
                <c:pt idx="1402">
                  <c:v>43954</c:v>
                </c:pt>
                <c:pt idx="1403">
                  <c:v>43955</c:v>
                </c:pt>
                <c:pt idx="1404">
                  <c:v>43956</c:v>
                </c:pt>
                <c:pt idx="1405">
                  <c:v>43957</c:v>
                </c:pt>
                <c:pt idx="1406">
                  <c:v>43958</c:v>
                </c:pt>
                <c:pt idx="1407">
                  <c:v>43959</c:v>
                </c:pt>
                <c:pt idx="1408">
                  <c:v>43960</c:v>
                </c:pt>
                <c:pt idx="1409">
                  <c:v>43961</c:v>
                </c:pt>
                <c:pt idx="1410">
                  <c:v>43962</c:v>
                </c:pt>
                <c:pt idx="1411">
                  <c:v>43963</c:v>
                </c:pt>
                <c:pt idx="1412">
                  <c:v>43964</c:v>
                </c:pt>
                <c:pt idx="1413">
                  <c:v>43965</c:v>
                </c:pt>
                <c:pt idx="1414">
                  <c:v>43966</c:v>
                </c:pt>
                <c:pt idx="1415">
                  <c:v>43967</c:v>
                </c:pt>
                <c:pt idx="1416">
                  <c:v>43968</c:v>
                </c:pt>
                <c:pt idx="1417">
                  <c:v>43969</c:v>
                </c:pt>
                <c:pt idx="1418">
                  <c:v>43970</c:v>
                </c:pt>
                <c:pt idx="1419">
                  <c:v>43971</c:v>
                </c:pt>
                <c:pt idx="1420">
                  <c:v>43972</c:v>
                </c:pt>
                <c:pt idx="1421">
                  <c:v>43973</c:v>
                </c:pt>
                <c:pt idx="1422">
                  <c:v>43974</c:v>
                </c:pt>
                <c:pt idx="1423">
                  <c:v>43975</c:v>
                </c:pt>
                <c:pt idx="1424">
                  <c:v>43976</c:v>
                </c:pt>
                <c:pt idx="1425">
                  <c:v>43977</c:v>
                </c:pt>
                <c:pt idx="1426">
                  <c:v>43978</c:v>
                </c:pt>
                <c:pt idx="1427">
                  <c:v>43979</c:v>
                </c:pt>
                <c:pt idx="1428">
                  <c:v>43980</c:v>
                </c:pt>
                <c:pt idx="1429">
                  <c:v>43981</c:v>
                </c:pt>
                <c:pt idx="1430">
                  <c:v>43982</c:v>
                </c:pt>
                <c:pt idx="1431">
                  <c:v>43983</c:v>
                </c:pt>
                <c:pt idx="1432">
                  <c:v>43984</c:v>
                </c:pt>
                <c:pt idx="1433">
                  <c:v>43985</c:v>
                </c:pt>
                <c:pt idx="1434">
                  <c:v>43986</c:v>
                </c:pt>
                <c:pt idx="1435">
                  <c:v>43987</c:v>
                </c:pt>
                <c:pt idx="1436">
                  <c:v>43988</c:v>
                </c:pt>
                <c:pt idx="1437">
                  <c:v>43989</c:v>
                </c:pt>
                <c:pt idx="1438">
                  <c:v>43990</c:v>
                </c:pt>
                <c:pt idx="1439">
                  <c:v>43991</c:v>
                </c:pt>
                <c:pt idx="1440">
                  <c:v>43992</c:v>
                </c:pt>
                <c:pt idx="1441">
                  <c:v>43993</c:v>
                </c:pt>
                <c:pt idx="1442">
                  <c:v>43994</c:v>
                </c:pt>
                <c:pt idx="1443">
                  <c:v>43995</c:v>
                </c:pt>
                <c:pt idx="1444">
                  <c:v>43996</c:v>
                </c:pt>
                <c:pt idx="1445">
                  <c:v>43997</c:v>
                </c:pt>
                <c:pt idx="1446">
                  <c:v>43998</c:v>
                </c:pt>
                <c:pt idx="1447">
                  <c:v>43999</c:v>
                </c:pt>
                <c:pt idx="1448">
                  <c:v>44000</c:v>
                </c:pt>
                <c:pt idx="1449">
                  <c:v>44001</c:v>
                </c:pt>
                <c:pt idx="1450">
                  <c:v>44002</c:v>
                </c:pt>
                <c:pt idx="1451">
                  <c:v>44003</c:v>
                </c:pt>
                <c:pt idx="1452">
                  <c:v>44004</c:v>
                </c:pt>
                <c:pt idx="1453">
                  <c:v>44005</c:v>
                </c:pt>
                <c:pt idx="1454">
                  <c:v>44006</c:v>
                </c:pt>
                <c:pt idx="1455">
                  <c:v>44007</c:v>
                </c:pt>
                <c:pt idx="1456">
                  <c:v>44008</c:v>
                </c:pt>
                <c:pt idx="1457">
                  <c:v>44009</c:v>
                </c:pt>
                <c:pt idx="1458">
                  <c:v>44010</c:v>
                </c:pt>
                <c:pt idx="1459">
                  <c:v>44011</c:v>
                </c:pt>
                <c:pt idx="1460">
                  <c:v>44012</c:v>
                </c:pt>
                <c:pt idx="1461">
                  <c:v>44013</c:v>
                </c:pt>
                <c:pt idx="1462">
                  <c:v>44014</c:v>
                </c:pt>
                <c:pt idx="1463">
                  <c:v>44015</c:v>
                </c:pt>
                <c:pt idx="1464">
                  <c:v>44016</c:v>
                </c:pt>
                <c:pt idx="1465">
                  <c:v>44017</c:v>
                </c:pt>
                <c:pt idx="1466">
                  <c:v>44018</c:v>
                </c:pt>
                <c:pt idx="1467">
                  <c:v>44019</c:v>
                </c:pt>
                <c:pt idx="1468">
                  <c:v>44020</c:v>
                </c:pt>
                <c:pt idx="1469">
                  <c:v>44021</c:v>
                </c:pt>
                <c:pt idx="1470">
                  <c:v>44022</c:v>
                </c:pt>
                <c:pt idx="1471">
                  <c:v>44023</c:v>
                </c:pt>
                <c:pt idx="1472">
                  <c:v>44024</c:v>
                </c:pt>
                <c:pt idx="1473">
                  <c:v>44025</c:v>
                </c:pt>
                <c:pt idx="1474">
                  <c:v>44026</c:v>
                </c:pt>
                <c:pt idx="1475">
                  <c:v>44027</c:v>
                </c:pt>
                <c:pt idx="1476">
                  <c:v>44028</c:v>
                </c:pt>
                <c:pt idx="1477">
                  <c:v>44029</c:v>
                </c:pt>
                <c:pt idx="1478">
                  <c:v>44030</c:v>
                </c:pt>
                <c:pt idx="1479">
                  <c:v>44031</c:v>
                </c:pt>
                <c:pt idx="1480">
                  <c:v>44032</c:v>
                </c:pt>
                <c:pt idx="1481">
                  <c:v>44033</c:v>
                </c:pt>
                <c:pt idx="1482">
                  <c:v>44034</c:v>
                </c:pt>
                <c:pt idx="1483">
                  <c:v>44035</c:v>
                </c:pt>
                <c:pt idx="1484">
                  <c:v>44036</c:v>
                </c:pt>
                <c:pt idx="1485">
                  <c:v>44037</c:v>
                </c:pt>
                <c:pt idx="1486">
                  <c:v>44038</c:v>
                </c:pt>
                <c:pt idx="1487">
                  <c:v>44039</c:v>
                </c:pt>
                <c:pt idx="1488">
                  <c:v>44040</c:v>
                </c:pt>
                <c:pt idx="1489">
                  <c:v>44041</c:v>
                </c:pt>
                <c:pt idx="1490">
                  <c:v>44042</c:v>
                </c:pt>
                <c:pt idx="1491">
                  <c:v>44043</c:v>
                </c:pt>
                <c:pt idx="1492">
                  <c:v>44044</c:v>
                </c:pt>
                <c:pt idx="1493">
                  <c:v>44045</c:v>
                </c:pt>
                <c:pt idx="1494">
                  <c:v>44046</c:v>
                </c:pt>
                <c:pt idx="1495">
                  <c:v>44047</c:v>
                </c:pt>
                <c:pt idx="1496">
                  <c:v>44048</c:v>
                </c:pt>
                <c:pt idx="1497">
                  <c:v>44049</c:v>
                </c:pt>
                <c:pt idx="1498">
                  <c:v>44050</c:v>
                </c:pt>
                <c:pt idx="1499">
                  <c:v>44051</c:v>
                </c:pt>
                <c:pt idx="1500">
                  <c:v>44052</c:v>
                </c:pt>
                <c:pt idx="1501">
                  <c:v>44053</c:v>
                </c:pt>
                <c:pt idx="1502">
                  <c:v>44054</c:v>
                </c:pt>
                <c:pt idx="1503">
                  <c:v>44055</c:v>
                </c:pt>
                <c:pt idx="1504">
                  <c:v>44056</c:v>
                </c:pt>
                <c:pt idx="1505">
                  <c:v>44057</c:v>
                </c:pt>
                <c:pt idx="1506">
                  <c:v>44058</c:v>
                </c:pt>
                <c:pt idx="1507">
                  <c:v>44059</c:v>
                </c:pt>
                <c:pt idx="1508">
                  <c:v>44060</c:v>
                </c:pt>
                <c:pt idx="1509">
                  <c:v>44061</c:v>
                </c:pt>
                <c:pt idx="1510">
                  <c:v>44062</c:v>
                </c:pt>
                <c:pt idx="1511">
                  <c:v>44063</c:v>
                </c:pt>
                <c:pt idx="1512">
                  <c:v>44064</c:v>
                </c:pt>
                <c:pt idx="1513">
                  <c:v>44065</c:v>
                </c:pt>
                <c:pt idx="1514">
                  <c:v>44066</c:v>
                </c:pt>
                <c:pt idx="1515">
                  <c:v>44067</c:v>
                </c:pt>
                <c:pt idx="1516">
                  <c:v>44068</c:v>
                </c:pt>
                <c:pt idx="1517">
                  <c:v>44069</c:v>
                </c:pt>
                <c:pt idx="1518">
                  <c:v>44070</c:v>
                </c:pt>
                <c:pt idx="1519">
                  <c:v>44071</c:v>
                </c:pt>
                <c:pt idx="1520">
                  <c:v>44072</c:v>
                </c:pt>
                <c:pt idx="1521">
                  <c:v>44073</c:v>
                </c:pt>
                <c:pt idx="1522">
                  <c:v>44074</c:v>
                </c:pt>
                <c:pt idx="1523">
                  <c:v>44075</c:v>
                </c:pt>
                <c:pt idx="1524">
                  <c:v>44076</c:v>
                </c:pt>
                <c:pt idx="1525">
                  <c:v>44077</c:v>
                </c:pt>
                <c:pt idx="1526">
                  <c:v>44078</c:v>
                </c:pt>
                <c:pt idx="1527">
                  <c:v>44079</c:v>
                </c:pt>
                <c:pt idx="1528">
                  <c:v>44080</c:v>
                </c:pt>
                <c:pt idx="1529">
                  <c:v>44081</c:v>
                </c:pt>
                <c:pt idx="1530">
                  <c:v>44082</c:v>
                </c:pt>
                <c:pt idx="1531">
                  <c:v>44083</c:v>
                </c:pt>
                <c:pt idx="1532">
                  <c:v>44084</c:v>
                </c:pt>
                <c:pt idx="1533">
                  <c:v>44085</c:v>
                </c:pt>
                <c:pt idx="1534">
                  <c:v>44086</c:v>
                </c:pt>
                <c:pt idx="1535">
                  <c:v>44087</c:v>
                </c:pt>
                <c:pt idx="1536">
                  <c:v>44088</c:v>
                </c:pt>
                <c:pt idx="1537">
                  <c:v>44089</c:v>
                </c:pt>
                <c:pt idx="1538">
                  <c:v>44090</c:v>
                </c:pt>
                <c:pt idx="1539">
                  <c:v>44091</c:v>
                </c:pt>
                <c:pt idx="1540">
                  <c:v>44092</c:v>
                </c:pt>
                <c:pt idx="1541">
                  <c:v>44093</c:v>
                </c:pt>
                <c:pt idx="1542">
                  <c:v>44094</c:v>
                </c:pt>
                <c:pt idx="1543">
                  <c:v>44095</c:v>
                </c:pt>
                <c:pt idx="1544">
                  <c:v>44096</c:v>
                </c:pt>
                <c:pt idx="1545">
                  <c:v>44097</c:v>
                </c:pt>
                <c:pt idx="1546">
                  <c:v>44098</c:v>
                </c:pt>
                <c:pt idx="1547">
                  <c:v>44099</c:v>
                </c:pt>
                <c:pt idx="1548">
                  <c:v>44100</c:v>
                </c:pt>
                <c:pt idx="1549">
                  <c:v>44101</c:v>
                </c:pt>
                <c:pt idx="1550">
                  <c:v>44102</c:v>
                </c:pt>
                <c:pt idx="1551">
                  <c:v>44103</c:v>
                </c:pt>
                <c:pt idx="1552">
                  <c:v>44104</c:v>
                </c:pt>
                <c:pt idx="1553">
                  <c:v>44105</c:v>
                </c:pt>
                <c:pt idx="1554">
                  <c:v>44106</c:v>
                </c:pt>
                <c:pt idx="1555">
                  <c:v>44107</c:v>
                </c:pt>
                <c:pt idx="1556">
                  <c:v>44108</c:v>
                </c:pt>
                <c:pt idx="1557">
                  <c:v>44109</c:v>
                </c:pt>
                <c:pt idx="1558">
                  <c:v>44110</c:v>
                </c:pt>
                <c:pt idx="1559">
                  <c:v>44111</c:v>
                </c:pt>
                <c:pt idx="1560">
                  <c:v>44112</c:v>
                </c:pt>
                <c:pt idx="1561">
                  <c:v>44113</c:v>
                </c:pt>
                <c:pt idx="1562">
                  <c:v>44114</c:v>
                </c:pt>
                <c:pt idx="1563">
                  <c:v>44115</c:v>
                </c:pt>
                <c:pt idx="1564">
                  <c:v>44116</c:v>
                </c:pt>
                <c:pt idx="1565">
                  <c:v>44117</c:v>
                </c:pt>
                <c:pt idx="1566">
                  <c:v>44118</c:v>
                </c:pt>
                <c:pt idx="1567">
                  <c:v>44119</c:v>
                </c:pt>
                <c:pt idx="1568">
                  <c:v>44120</c:v>
                </c:pt>
                <c:pt idx="1569">
                  <c:v>44121</c:v>
                </c:pt>
                <c:pt idx="1570">
                  <c:v>44122</c:v>
                </c:pt>
                <c:pt idx="1571">
                  <c:v>44123</c:v>
                </c:pt>
                <c:pt idx="1572">
                  <c:v>44124</c:v>
                </c:pt>
                <c:pt idx="1573">
                  <c:v>44125</c:v>
                </c:pt>
                <c:pt idx="1574">
                  <c:v>44126</c:v>
                </c:pt>
                <c:pt idx="1575">
                  <c:v>44127</c:v>
                </c:pt>
                <c:pt idx="1576">
                  <c:v>44128</c:v>
                </c:pt>
                <c:pt idx="1577">
                  <c:v>44129</c:v>
                </c:pt>
                <c:pt idx="1578">
                  <c:v>44130</c:v>
                </c:pt>
                <c:pt idx="1579">
                  <c:v>44131</c:v>
                </c:pt>
                <c:pt idx="1580">
                  <c:v>44132</c:v>
                </c:pt>
                <c:pt idx="1581">
                  <c:v>44133</c:v>
                </c:pt>
                <c:pt idx="1582">
                  <c:v>44134</c:v>
                </c:pt>
                <c:pt idx="1583">
                  <c:v>44135</c:v>
                </c:pt>
                <c:pt idx="1584">
                  <c:v>44136</c:v>
                </c:pt>
                <c:pt idx="1585">
                  <c:v>44137</c:v>
                </c:pt>
                <c:pt idx="1586">
                  <c:v>44138</c:v>
                </c:pt>
                <c:pt idx="1587">
                  <c:v>44139</c:v>
                </c:pt>
                <c:pt idx="1588">
                  <c:v>44140</c:v>
                </c:pt>
                <c:pt idx="1589">
                  <c:v>44141</c:v>
                </c:pt>
                <c:pt idx="1590">
                  <c:v>44142</c:v>
                </c:pt>
                <c:pt idx="1591">
                  <c:v>44143</c:v>
                </c:pt>
                <c:pt idx="1592">
                  <c:v>44144</c:v>
                </c:pt>
                <c:pt idx="1593">
                  <c:v>44145</c:v>
                </c:pt>
                <c:pt idx="1594">
                  <c:v>44146</c:v>
                </c:pt>
                <c:pt idx="1595">
                  <c:v>44147</c:v>
                </c:pt>
                <c:pt idx="1596">
                  <c:v>44148</c:v>
                </c:pt>
                <c:pt idx="1597">
                  <c:v>44149</c:v>
                </c:pt>
                <c:pt idx="1598">
                  <c:v>44150</c:v>
                </c:pt>
                <c:pt idx="1599">
                  <c:v>44151</c:v>
                </c:pt>
                <c:pt idx="1600">
                  <c:v>44152</c:v>
                </c:pt>
                <c:pt idx="1601">
                  <c:v>44153</c:v>
                </c:pt>
                <c:pt idx="1602">
                  <c:v>44154</c:v>
                </c:pt>
                <c:pt idx="1603">
                  <c:v>44155</c:v>
                </c:pt>
                <c:pt idx="1604">
                  <c:v>44156</c:v>
                </c:pt>
                <c:pt idx="1605">
                  <c:v>44157</c:v>
                </c:pt>
                <c:pt idx="1606">
                  <c:v>44158</c:v>
                </c:pt>
                <c:pt idx="1607">
                  <c:v>44159</c:v>
                </c:pt>
                <c:pt idx="1608">
                  <c:v>44160</c:v>
                </c:pt>
                <c:pt idx="1609">
                  <c:v>44161</c:v>
                </c:pt>
                <c:pt idx="1610">
                  <c:v>44162</c:v>
                </c:pt>
                <c:pt idx="1611">
                  <c:v>44163</c:v>
                </c:pt>
                <c:pt idx="1612">
                  <c:v>44164</c:v>
                </c:pt>
                <c:pt idx="1613">
                  <c:v>44165</c:v>
                </c:pt>
                <c:pt idx="1614">
                  <c:v>44166</c:v>
                </c:pt>
                <c:pt idx="1615">
                  <c:v>44167</c:v>
                </c:pt>
                <c:pt idx="1616">
                  <c:v>44168</c:v>
                </c:pt>
                <c:pt idx="1617">
                  <c:v>44169</c:v>
                </c:pt>
                <c:pt idx="1618">
                  <c:v>44170</c:v>
                </c:pt>
                <c:pt idx="1619">
                  <c:v>44171</c:v>
                </c:pt>
                <c:pt idx="1620">
                  <c:v>44172</c:v>
                </c:pt>
                <c:pt idx="1621">
                  <c:v>44173</c:v>
                </c:pt>
                <c:pt idx="1622">
                  <c:v>44174</c:v>
                </c:pt>
                <c:pt idx="1623">
                  <c:v>44175</c:v>
                </c:pt>
                <c:pt idx="1624">
                  <c:v>44176</c:v>
                </c:pt>
                <c:pt idx="1625">
                  <c:v>44177</c:v>
                </c:pt>
                <c:pt idx="1626">
                  <c:v>44178</c:v>
                </c:pt>
                <c:pt idx="1627">
                  <c:v>44179</c:v>
                </c:pt>
                <c:pt idx="1628">
                  <c:v>44180</c:v>
                </c:pt>
                <c:pt idx="1629">
                  <c:v>44181</c:v>
                </c:pt>
                <c:pt idx="1630">
                  <c:v>44182</c:v>
                </c:pt>
                <c:pt idx="1631">
                  <c:v>44183</c:v>
                </c:pt>
                <c:pt idx="1632">
                  <c:v>44184</c:v>
                </c:pt>
                <c:pt idx="1633">
                  <c:v>44185</c:v>
                </c:pt>
                <c:pt idx="1634">
                  <c:v>44186</c:v>
                </c:pt>
                <c:pt idx="1635">
                  <c:v>44187</c:v>
                </c:pt>
                <c:pt idx="1636">
                  <c:v>44188</c:v>
                </c:pt>
                <c:pt idx="1637">
                  <c:v>44189</c:v>
                </c:pt>
                <c:pt idx="1638">
                  <c:v>44190</c:v>
                </c:pt>
                <c:pt idx="1639">
                  <c:v>44191</c:v>
                </c:pt>
                <c:pt idx="1640">
                  <c:v>44192</c:v>
                </c:pt>
                <c:pt idx="1641">
                  <c:v>44193</c:v>
                </c:pt>
                <c:pt idx="1642">
                  <c:v>44194</c:v>
                </c:pt>
                <c:pt idx="1643">
                  <c:v>44195</c:v>
                </c:pt>
                <c:pt idx="1644">
                  <c:v>44196</c:v>
                </c:pt>
                <c:pt idx="1645">
                  <c:v>44197</c:v>
                </c:pt>
                <c:pt idx="1646">
                  <c:v>44198</c:v>
                </c:pt>
                <c:pt idx="1647">
                  <c:v>44199</c:v>
                </c:pt>
                <c:pt idx="1648">
                  <c:v>44200</c:v>
                </c:pt>
                <c:pt idx="1649">
                  <c:v>44201</c:v>
                </c:pt>
                <c:pt idx="1650">
                  <c:v>44202</c:v>
                </c:pt>
                <c:pt idx="1651">
                  <c:v>44203</c:v>
                </c:pt>
                <c:pt idx="1652">
                  <c:v>44204</c:v>
                </c:pt>
                <c:pt idx="1653">
                  <c:v>44205</c:v>
                </c:pt>
                <c:pt idx="1654">
                  <c:v>44206</c:v>
                </c:pt>
                <c:pt idx="1655">
                  <c:v>44207</c:v>
                </c:pt>
                <c:pt idx="1656">
                  <c:v>44208</c:v>
                </c:pt>
                <c:pt idx="1657">
                  <c:v>44209</c:v>
                </c:pt>
                <c:pt idx="1658">
                  <c:v>44210</c:v>
                </c:pt>
                <c:pt idx="1659">
                  <c:v>44211</c:v>
                </c:pt>
                <c:pt idx="1660">
                  <c:v>44212</c:v>
                </c:pt>
                <c:pt idx="1661">
                  <c:v>44213</c:v>
                </c:pt>
                <c:pt idx="1662">
                  <c:v>44214</c:v>
                </c:pt>
                <c:pt idx="1663">
                  <c:v>44215</c:v>
                </c:pt>
                <c:pt idx="1664">
                  <c:v>44216</c:v>
                </c:pt>
                <c:pt idx="1665">
                  <c:v>44217</c:v>
                </c:pt>
                <c:pt idx="1666">
                  <c:v>44218</c:v>
                </c:pt>
                <c:pt idx="1667">
                  <c:v>44219</c:v>
                </c:pt>
                <c:pt idx="1668">
                  <c:v>44220</c:v>
                </c:pt>
                <c:pt idx="1669">
                  <c:v>44221</c:v>
                </c:pt>
                <c:pt idx="1670">
                  <c:v>44222</c:v>
                </c:pt>
                <c:pt idx="1671">
                  <c:v>44223</c:v>
                </c:pt>
                <c:pt idx="1672">
                  <c:v>44224</c:v>
                </c:pt>
                <c:pt idx="1673">
                  <c:v>44225</c:v>
                </c:pt>
                <c:pt idx="1674">
                  <c:v>44226</c:v>
                </c:pt>
                <c:pt idx="1675">
                  <c:v>44227</c:v>
                </c:pt>
                <c:pt idx="1676">
                  <c:v>44228</c:v>
                </c:pt>
                <c:pt idx="1677">
                  <c:v>44229</c:v>
                </c:pt>
                <c:pt idx="1678">
                  <c:v>44230</c:v>
                </c:pt>
                <c:pt idx="1679">
                  <c:v>44231</c:v>
                </c:pt>
                <c:pt idx="1680">
                  <c:v>44232</c:v>
                </c:pt>
                <c:pt idx="1681">
                  <c:v>44233</c:v>
                </c:pt>
                <c:pt idx="1682">
                  <c:v>44234</c:v>
                </c:pt>
                <c:pt idx="1683">
                  <c:v>44235</c:v>
                </c:pt>
                <c:pt idx="1684">
                  <c:v>44236</c:v>
                </c:pt>
                <c:pt idx="1685">
                  <c:v>44237</c:v>
                </c:pt>
                <c:pt idx="1686">
                  <c:v>44238</c:v>
                </c:pt>
                <c:pt idx="1687">
                  <c:v>44239</c:v>
                </c:pt>
                <c:pt idx="1688">
                  <c:v>44240</c:v>
                </c:pt>
                <c:pt idx="1689">
                  <c:v>44241</c:v>
                </c:pt>
                <c:pt idx="1690">
                  <c:v>44242</c:v>
                </c:pt>
                <c:pt idx="1691">
                  <c:v>44243</c:v>
                </c:pt>
                <c:pt idx="1692">
                  <c:v>44244</c:v>
                </c:pt>
                <c:pt idx="1693">
                  <c:v>44245</c:v>
                </c:pt>
                <c:pt idx="1694">
                  <c:v>44246</c:v>
                </c:pt>
                <c:pt idx="1695">
                  <c:v>44247</c:v>
                </c:pt>
                <c:pt idx="1696">
                  <c:v>44248</c:v>
                </c:pt>
                <c:pt idx="1697">
                  <c:v>44249</c:v>
                </c:pt>
                <c:pt idx="1698">
                  <c:v>44250</c:v>
                </c:pt>
                <c:pt idx="1699">
                  <c:v>44251</c:v>
                </c:pt>
                <c:pt idx="1700">
                  <c:v>44252</c:v>
                </c:pt>
                <c:pt idx="1701">
                  <c:v>44253</c:v>
                </c:pt>
                <c:pt idx="1702">
                  <c:v>44254</c:v>
                </c:pt>
                <c:pt idx="1703">
                  <c:v>44255</c:v>
                </c:pt>
                <c:pt idx="1704">
                  <c:v>44256</c:v>
                </c:pt>
                <c:pt idx="1705">
                  <c:v>44257</c:v>
                </c:pt>
                <c:pt idx="1706">
                  <c:v>44258</c:v>
                </c:pt>
                <c:pt idx="1707">
                  <c:v>44259</c:v>
                </c:pt>
                <c:pt idx="1708">
                  <c:v>44260</c:v>
                </c:pt>
                <c:pt idx="1709">
                  <c:v>44261</c:v>
                </c:pt>
                <c:pt idx="1710">
                  <c:v>44262</c:v>
                </c:pt>
                <c:pt idx="1711">
                  <c:v>44263</c:v>
                </c:pt>
                <c:pt idx="1712">
                  <c:v>44264</c:v>
                </c:pt>
                <c:pt idx="1713">
                  <c:v>44265</c:v>
                </c:pt>
                <c:pt idx="1714">
                  <c:v>44266</c:v>
                </c:pt>
                <c:pt idx="1715">
                  <c:v>44267</c:v>
                </c:pt>
                <c:pt idx="1716">
                  <c:v>44268</c:v>
                </c:pt>
                <c:pt idx="1717">
                  <c:v>44269</c:v>
                </c:pt>
                <c:pt idx="1718">
                  <c:v>44270</c:v>
                </c:pt>
                <c:pt idx="1719">
                  <c:v>44271</c:v>
                </c:pt>
                <c:pt idx="1720">
                  <c:v>44272</c:v>
                </c:pt>
                <c:pt idx="1721">
                  <c:v>44273</c:v>
                </c:pt>
                <c:pt idx="1722">
                  <c:v>44274</c:v>
                </c:pt>
                <c:pt idx="1723">
                  <c:v>44275</c:v>
                </c:pt>
                <c:pt idx="1724">
                  <c:v>44276</c:v>
                </c:pt>
                <c:pt idx="1725">
                  <c:v>44277</c:v>
                </c:pt>
                <c:pt idx="1726">
                  <c:v>44278</c:v>
                </c:pt>
                <c:pt idx="1727">
                  <c:v>44279</c:v>
                </c:pt>
                <c:pt idx="1728">
                  <c:v>44280</c:v>
                </c:pt>
                <c:pt idx="1729">
                  <c:v>44281</c:v>
                </c:pt>
                <c:pt idx="1730">
                  <c:v>44282</c:v>
                </c:pt>
                <c:pt idx="1731">
                  <c:v>44283</c:v>
                </c:pt>
                <c:pt idx="1732">
                  <c:v>44284</c:v>
                </c:pt>
                <c:pt idx="1733">
                  <c:v>44285</c:v>
                </c:pt>
                <c:pt idx="1734">
                  <c:v>44286</c:v>
                </c:pt>
                <c:pt idx="1735">
                  <c:v>44287</c:v>
                </c:pt>
                <c:pt idx="1736">
                  <c:v>44288</c:v>
                </c:pt>
                <c:pt idx="1737">
                  <c:v>44289</c:v>
                </c:pt>
                <c:pt idx="1738">
                  <c:v>44290</c:v>
                </c:pt>
                <c:pt idx="1739">
                  <c:v>44291</c:v>
                </c:pt>
                <c:pt idx="1740">
                  <c:v>44292</c:v>
                </c:pt>
                <c:pt idx="1741">
                  <c:v>44293</c:v>
                </c:pt>
                <c:pt idx="1742">
                  <c:v>44294</c:v>
                </c:pt>
                <c:pt idx="1743">
                  <c:v>44295</c:v>
                </c:pt>
                <c:pt idx="1744">
                  <c:v>44296</c:v>
                </c:pt>
                <c:pt idx="1745">
                  <c:v>44297</c:v>
                </c:pt>
                <c:pt idx="1746">
                  <c:v>44298</c:v>
                </c:pt>
                <c:pt idx="1747">
                  <c:v>44299</c:v>
                </c:pt>
                <c:pt idx="1748">
                  <c:v>44300</c:v>
                </c:pt>
                <c:pt idx="1749">
                  <c:v>44301</c:v>
                </c:pt>
                <c:pt idx="1750">
                  <c:v>44302</c:v>
                </c:pt>
                <c:pt idx="1751">
                  <c:v>44303</c:v>
                </c:pt>
                <c:pt idx="1752">
                  <c:v>44304</c:v>
                </c:pt>
                <c:pt idx="1753">
                  <c:v>44305</c:v>
                </c:pt>
                <c:pt idx="1754">
                  <c:v>44306</c:v>
                </c:pt>
                <c:pt idx="1755">
                  <c:v>44307</c:v>
                </c:pt>
                <c:pt idx="1756">
                  <c:v>44308</c:v>
                </c:pt>
                <c:pt idx="1757">
                  <c:v>44309</c:v>
                </c:pt>
                <c:pt idx="1758">
                  <c:v>44310</c:v>
                </c:pt>
                <c:pt idx="1759">
                  <c:v>44311</c:v>
                </c:pt>
                <c:pt idx="1760">
                  <c:v>44312</c:v>
                </c:pt>
                <c:pt idx="1761">
                  <c:v>44313</c:v>
                </c:pt>
                <c:pt idx="1762">
                  <c:v>44314</c:v>
                </c:pt>
                <c:pt idx="1763">
                  <c:v>44315</c:v>
                </c:pt>
                <c:pt idx="1764">
                  <c:v>44316</c:v>
                </c:pt>
                <c:pt idx="1765">
                  <c:v>44317</c:v>
                </c:pt>
                <c:pt idx="1766">
                  <c:v>44318</c:v>
                </c:pt>
                <c:pt idx="1767">
                  <c:v>44319</c:v>
                </c:pt>
                <c:pt idx="1768">
                  <c:v>44320</c:v>
                </c:pt>
                <c:pt idx="1769">
                  <c:v>44321</c:v>
                </c:pt>
                <c:pt idx="1770">
                  <c:v>44322</c:v>
                </c:pt>
                <c:pt idx="1771">
                  <c:v>44323</c:v>
                </c:pt>
                <c:pt idx="1772">
                  <c:v>44324</c:v>
                </c:pt>
                <c:pt idx="1773">
                  <c:v>44325</c:v>
                </c:pt>
                <c:pt idx="1774">
                  <c:v>44326</c:v>
                </c:pt>
                <c:pt idx="1775">
                  <c:v>44327</c:v>
                </c:pt>
                <c:pt idx="1776">
                  <c:v>44328</c:v>
                </c:pt>
                <c:pt idx="1777">
                  <c:v>44329</c:v>
                </c:pt>
                <c:pt idx="1778">
                  <c:v>44330</c:v>
                </c:pt>
                <c:pt idx="1779">
                  <c:v>44331</c:v>
                </c:pt>
                <c:pt idx="1780">
                  <c:v>44332</c:v>
                </c:pt>
                <c:pt idx="1781">
                  <c:v>44333</c:v>
                </c:pt>
                <c:pt idx="1782">
                  <c:v>44334</c:v>
                </c:pt>
                <c:pt idx="1783">
                  <c:v>44335</c:v>
                </c:pt>
                <c:pt idx="1784">
                  <c:v>44336</c:v>
                </c:pt>
                <c:pt idx="1785">
                  <c:v>44337</c:v>
                </c:pt>
                <c:pt idx="1786">
                  <c:v>44338</c:v>
                </c:pt>
                <c:pt idx="1787">
                  <c:v>44339</c:v>
                </c:pt>
                <c:pt idx="1788">
                  <c:v>44340</c:v>
                </c:pt>
                <c:pt idx="1789">
                  <c:v>44341</c:v>
                </c:pt>
                <c:pt idx="1790">
                  <c:v>44342</c:v>
                </c:pt>
                <c:pt idx="1791">
                  <c:v>44343</c:v>
                </c:pt>
                <c:pt idx="1792">
                  <c:v>44344</c:v>
                </c:pt>
                <c:pt idx="1793">
                  <c:v>44345</c:v>
                </c:pt>
                <c:pt idx="1794">
                  <c:v>44346</c:v>
                </c:pt>
                <c:pt idx="1795">
                  <c:v>44347</c:v>
                </c:pt>
                <c:pt idx="1796">
                  <c:v>44348</c:v>
                </c:pt>
                <c:pt idx="1797">
                  <c:v>44349</c:v>
                </c:pt>
                <c:pt idx="1798">
                  <c:v>44350</c:v>
                </c:pt>
                <c:pt idx="1799">
                  <c:v>44351</c:v>
                </c:pt>
                <c:pt idx="1800">
                  <c:v>44352</c:v>
                </c:pt>
              </c:numCache>
            </c:numRef>
          </c:cat>
          <c:val>
            <c:numRef>
              <c:f>'Bitcoin MA model'!$H$2:$H$1802</c:f>
              <c:numCache>
                <c:formatCode>0.00%</c:formatCode>
                <c:ptCount val="18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0.98482733963129476</c:v>
                </c:pt>
                <c:pt idx="13">
                  <c:v>0.99025955606644356</c:v>
                </c:pt>
                <c:pt idx="14">
                  <c:v>0.99804978105330588</c:v>
                </c:pt>
                <c:pt idx="15">
                  <c:v>0.99430593610174622</c:v>
                </c:pt>
                <c:pt idx="16">
                  <c:v>1.0224331291942554</c:v>
                </c:pt>
                <c:pt idx="17">
                  <c:v>1.012873342569895</c:v>
                </c:pt>
                <c:pt idx="18">
                  <c:v>1.0125091809165443</c:v>
                </c:pt>
                <c:pt idx="19">
                  <c:v>1.0017063746158543</c:v>
                </c:pt>
                <c:pt idx="20">
                  <c:v>1.0017063746158543</c:v>
                </c:pt>
                <c:pt idx="21">
                  <c:v>1.0017063746158543</c:v>
                </c:pt>
                <c:pt idx="22">
                  <c:v>1.0017063746158543</c:v>
                </c:pt>
                <c:pt idx="23">
                  <c:v>1.0017063746158543</c:v>
                </c:pt>
                <c:pt idx="24">
                  <c:v>0.99081809846526003</c:v>
                </c:pt>
                <c:pt idx="25">
                  <c:v>0.99081809846526003</c:v>
                </c:pt>
                <c:pt idx="26">
                  <c:v>0.99081809846526003</c:v>
                </c:pt>
                <c:pt idx="27">
                  <c:v>0.99081809846526003</c:v>
                </c:pt>
                <c:pt idx="28">
                  <c:v>0.99081809846526003</c:v>
                </c:pt>
                <c:pt idx="29">
                  <c:v>0.98788480837115178</c:v>
                </c:pt>
                <c:pt idx="30">
                  <c:v>0.94208950264776747</c:v>
                </c:pt>
                <c:pt idx="31">
                  <c:v>0.94208950264776747</c:v>
                </c:pt>
                <c:pt idx="32">
                  <c:v>0.94208950264776747</c:v>
                </c:pt>
                <c:pt idx="33">
                  <c:v>0.94208950264776747</c:v>
                </c:pt>
                <c:pt idx="34">
                  <c:v>0.94208950264776747</c:v>
                </c:pt>
                <c:pt idx="35">
                  <c:v>0.94208950264776747</c:v>
                </c:pt>
                <c:pt idx="36">
                  <c:v>0.96295315120790514</c:v>
                </c:pt>
                <c:pt idx="37">
                  <c:v>0.97100042966955757</c:v>
                </c:pt>
                <c:pt idx="38">
                  <c:v>0.96832020374441474</c:v>
                </c:pt>
                <c:pt idx="39">
                  <c:v>0.96299084835111881</c:v>
                </c:pt>
                <c:pt idx="40">
                  <c:v>0.97003879209294575</c:v>
                </c:pt>
                <c:pt idx="41">
                  <c:v>0.9651517088893421</c:v>
                </c:pt>
                <c:pt idx="42">
                  <c:v>0.9651517088893421</c:v>
                </c:pt>
                <c:pt idx="43">
                  <c:v>0.9651517088893421</c:v>
                </c:pt>
                <c:pt idx="44">
                  <c:v>0.9651517088893421</c:v>
                </c:pt>
                <c:pt idx="45">
                  <c:v>0.9651517088893421</c:v>
                </c:pt>
                <c:pt idx="46">
                  <c:v>0.9651517088893421</c:v>
                </c:pt>
                <c:pt idx="47">
                  <c:v>0.9651517088893421</c:v>
                </c:pt>
                <c:pt idx="48">
                  <c:v>0.9651517088893421</c:v>
                </c:pt>
                <c:pt idx="49">
                  <c:v>0.96735656863484432</c:v>
                </c:pt>
                <c:pt idx="50">
                  <c:v>0.97755229805936006</c:v>
                </c:pt>
                <c:pt idx="51">
                  <c:v>0.97689851270856265</c:v>
                </c:pt>
                <c:pt idx="52">
                  <c:v>0.98604894651033981</c:v>
                </c:pt>
                <c:pt idx="53">
                  <c:v>0.98043935567301288</c:v>
                </c:pt>
                <c:pt idx="54">
                  <c:v>0.97500628980450244</c:v>
                </c:pt>
                <c:pt idx="55">
                  <c:v>0.97500628980450244</c:v>
                </c:pt>
                <c:pt idx="56">
                  <c:v>0.97500628980450244</c:v>
                </c:pt>
                <c:pt idx="57">
                  <c:v>0.97500628980450244</c:v>
                </c:pt>
                <c:pt idx="58">
                  <c:v>0.97500628980450244</c:v>
                </c:pt>
                <c:pt idx="59">
                  <c:v>0.97500628980450244</c:v>
                </c:pt>
                <c:pt idx="60">
                  <c:v>0.97500628980450244</c:v>
                </c:pt>
                <c:pt idx="61">
                  <c:v>0.9715773142745201</c:v>
                </c:pt>
                <c:pt idx="62">
                  <c:v>0.96622703759962725</c:v>
                </c:pt>
                <c:pt idx="63">
                  <c:v>0.96622703759962725</c:v>
                </c:pt>
                <c:pt idx="64">
                  <c:v>1.0042944198491146</c:v>
                </c:pt>
                <c:pt idx="65">
                  <c:v>1.0217911498849588</c:v>
                </c:pt>
                <c:pt idx="66">
                  <c:v>1.0183597198170826</c:v>
                </c:pt>
                <c:pt idx="67">
                  <c:v>1.0248163995101554</c:v>
                </c:pt>
                <c:pt idx="68">
                  <c:v>1.0317130745794927</c:v>
                </c:pt>
                <c:pt idx="69">
                  <c:v>1.0514761807836346</c:v>
                </c:pt>
                <c:pt idx="70">
                  <c:v>1.0456759073410573</c:v>
                </c:pt>
                <c:pt idx="71">
                  <c:v>1.0467637016217497</c:v>
                </c:pt>
                <c:pt idx="72">
                  <c:v>1.0185762330997608</c:v>
                </c:pt>
                <c:pt idx="73">
                  <c:v>1.0185762330997608</c:v>
                </c:pt>
                <c:pt idx="74">
                  <c:v>1.0185762330997608</c:v>
                </c:pt>
                <c:pt idx="75">
                  <c:v>1.0185762330997608</c:v>
                </c:pt>
                <c:pt idx="76">
                  <c:v>1.0185762330997608</c:v>
                </c:pt>
                <c:pt idx="77">
                  <c:v>1.0185762330997608</c:v>
                </c:pt>
                <c:pt idx="78">
                  <c:v>1.0185762330997608</c:v>
                </c:pt>
                <c:pt idx="79">
                  <c:v>1.0185762330997608</c:v>
                </c:pt>
                <c:pt idx="80">
                  <c:v>1.0174955960977299</c:v>
                </c:pt>
                <c:pt idx="81">
                  <c:v>1.0159674528919826</c:v>
                </c:pt>
                <c:pt idx="82">
                  <c:v>0.99732361576219819</c:v>
                </c:pt>
                <c:pt idx="83">
                  <c:v>0.99732361576219819</c:v>
                </c:pt>
                <c:pt idx="84">
                  <c:v>0.99732361576219819</c:v>
                </c:pt>
                <c:pt idx="85">
                  <c:v>0.99696465058504169</c:v>
                </c:pt>
                <c:pt idx="86">
                  <c:v>0.99398842096792728</c:v>
                </c:pt>
                <c:pt idx="87">
                  <c:v>1.0059280762408132</c:v>
                </c:pt>
                <c:pt idx="88">
                  <c:v>1.0028228008097353</c:v>
                </c:pt>
                <c:pt idx="89">
                  <c:v>1.0004438351164266</c:v>
                </c:pt>
                <c:pt idx="90">
                  <c:v>1.0020402458046929</c:v>
                </c:pt>
                <c:pt idx="91">
                  <c:v>1.0087271956357613</c:v>
                </c:pt>
                <c:pt idx="92">
                  <c:v>1.0157549357364544</c:v>
                </c:pt>
                <c:pt idx="93">
                  <c:v>1.0106413743823641</c:v>
                </c:pt>
                <c:pt idx="94">
                  <c:v>1.012694392812636</c:v>
                </c:pt>
                <c:pt idx="95">
                  <c:v>1.0095030851845461</c:v>
                </c:pt>
                <c:pt idx="96">
                  <c:v>1.0095030851845461</c:v>
                </c:pt>
                <c:pt idx="97">
                  <c:v>1.010343652423735</c:v>
                </c:pt>
                <c:pt idx="98">
                  <c:v>1.017100981705634</c:v>
                </c:pt>
                <c:pt idx="99">
                  <c:v>1.0203758317354399</c:v>
                </c:pt>
                <c:pt idx="100">
                  <c:v>1.0164928877321104</c:v>
                </c:pt>
                <c:pt idx="101">
                  <c:v>1.0201880230296496</c:v>
                </c:pt>
                <c:pt idx="102">
                  <c:v>1.0565756334450334</c:v>
                </c:pt>
                <c:pt idx="103">
                  <c:v>1.0485327097974355</c:v>
                </c:pt>
                <c:pt idx="104">
                  <c:v>1.0495116943206311</c:v>
                </c:pt>
                <c:pt idx="105">
                  <c:v>1.0554317757147649</c:v>
                </c:pt>
                <c:pt idx="106">
                  <c:v>1.0525772076564148</c:v>
                </c:pt>
                <c:pt idx="107">
                  <c:v>1.0574968770755846</c:v>
                </c:pt>
                <c:pt idx="108">
                  <c:v>1.0534787346032095</c:v>
                </c:pt>
                <c:pt idx="109">
                  <c:v>1.0534787346032095</c:v>
                </c:pt>
                <c:pt idx="110">
                  <c:v>1.0534787346032095</c:v>
                </c:pt>
                <c:pt idx="111">
                  <c:v>1.0534787346032095</c:v>
                </c:pt>
                <c:pt idx="112">
                  <c:v>1.0534787346032095</c:v>
                </c:pt>
                <c:pt idx="113">
                  <c:v>1.0534787346032095</c:v>
                </c:pt>
                <c:pt idx="114">
                  <c:v>1.0531212858326382</c:v>
                </c:pt>
                <c:pt idx="115">
                  <c:v>1.0478161826782681</c:v>
                </c:pt>
                <c:pt idx="116">
                  <c:v>1.0539499546653086</c:v>
                </c:pt>
                <c:pt idx="117">
                  <c:v>1.0871525526309993</c:v>
                </c:pt>
                <c:pt idx="118">
                  <c:v>1.1031944441757078</c:v>
                </c:pt>
                <c:pt idx="119">
                  <c:v>1.1053389460717475</c:v>
                </c:pt>
                <c:pt idx="120">
                  <c:v>1.1451320568325427</c:v>
                </c:pt>
                <c:pt idx="121">
                  <c:v>1.1249133668993925</c:v>
                </c:pt>
                <c:pt idx="122">
                  <c:v>1.1234836663794254</c:v>
                </c:pt>
                <c:pt idx="123">
                  <c:v>1.1696766298621051</c:v>
                </c:pt>
                <c:pt idx="124">
                  <c:v>1.1873645099911465</c:v>
                </c:pt>
                <c:pt idx="125">
                  <c:v>1.1038147473430258</c:v>
                </c:pt>
                <c:pt idx="126">
                  <c:v>1.1038147473430258</c:v>
                </c:pt>
                <c:pt idx="127">
                  <c:v>1.1038147473430258</c:v>
                </c:pt>
                <c:pt idx="128">
                  <c:v>1.1038147473430258</c:v>
                </c:pt>
                <c:pt idx="129">
                  <c:v>1.0907974392824111</c:v>
                </c:pt>
                <c:pt idx="130">
                  <c:v>1.1012178749058485</c:v>
                </c:pt>
                <c:pt idx="131">
                  <c:v>1.1220446382380096</c:v>
                </c:pt>
                <c:pt idx="132">
                  <c:v>1.1100387733407362</c:v>
                </c:pt>
                <c:pt idx="133">
                  <c:v>1.1113993230125119</c:v>
                </c:pt>
                <c:pt idx="134">
                  <c:v>1.093780726479723</c:v>
                </c:pt>
                <c:pt idx="135">
                  <c:v>1.093780726479723</c:v>
                </c:pt>
                <c:pt idx="136">
                  <c:v>1.093780726479723</c:v>
                </c:pt>
                <c:pt idx="137">
                  <c:v>1.093780726479723</c:v>
                </c:pt>
                <c:pt idx="138">
                  <c:v>1.1438556378679299</c:v>
                </c:pt>
                <c:pt idx="139">
                  <c:v>1.1389048476611312</c:v>
                </c:pt>
                <c:pt idx="140">
                  <c:v>1.1552097251836362</c:v>
                </c:pt>
                <c:pt idx="141">
                  <c:v>1.1552573823770216</c:v>
                </c:pt>
                <c:pt idx="142">
                  <c:v>1.1236098658140934</c:v>
                </c:pt>
                <c:pt idx="143">
                  <c:v>1.1236098658140934</c:v>
                </c:pt>
                <c:pt idx="144">
                  <c:v>1.1236098658140934</c:v>
                </c:pt>
                <c:pt idx="145">
                  <c:v>1.1135110333667204</c:v>
                </c:pt>
                <c:pt idx="146">
                  <c:v>1.1070730856493145</c:v>
                </c:pt>
                <c:pt idx="147">
                  <c:v>1.1070730856493145</c:v>
                </c:pt>
                <c:pt idx="148">
                  <c:v>1.1070730856493145</c:v>
                </c:pt>
                <c:pt idx="149">
                  <c:v>1.1070730856493145</c:v>
                </c:pt>
                <c:pt idx="150">
                  <c:v>1.1070730856493145</c:v>
                </c:pt>
                <c:pt idx="151">
                  <c:v>1.1070730856493145</c:v>
                </c:pt>
                <c:pt idx="152">
                  <c:v>1.1070730856493145</c:v>
                </c:pt>
                <c:pt idx="153">
                  <c:v>1.1235272204187738</c:v>
                </c:pt>
                <c:pt idx="154">
                  <c:v>1.1549567523066118</c:v>
                </c:pt>
                <c:pt idx="155">
                  <c:v>1.1448777060624957</c:v>
                </c:pt>
                <c:pt idx="156">
                  <c:v>1.148911408382834</c:v>
                </c:pt>
                <c:pt idx="157">
                  <c:v>1.1263866494581962</c:v>
                </c:pt>
                <c:pt idx="158">
                  <c:v>1.1263866494581962</c:v>
                </c:pt>
                <c:pt idx="159">
                  <c:v>1.1263866494581962</c:v>
                </c:pt>
                <c:pt idx="160">
                  <c:v>1.1303136303918335</c:v>
                </c:pt>
                <c:pt idx="161">
                  <c:v>1.1332229741873538</c:v>
                </c:pt>
                <c:pt idx="162">
                  <c:v>1.1359446338039856</c:v>
                </c:pt>
                <c:pt idx="163">
                  <c:v>1.1287314171303491</c:v>
                </c:pt>
                <c:pt idx="164">
                  <c:v>1.1287314171303491</c:v>
                </c:pt>
                <c:pt idx="165">
                  <c:v>1.1294101069839542</c:v>
                </c:pt>
                <c:pt idx="166">
                  <c:v>1.1307485000728383</c:v>
                </c:pt>
                <c:pt idx="167">
                  <c:v>1.1258390586070579</c:v>
                </c:pt>
                <c:pt idx="168">
                  <c:v>1.1357056309116882</c:v>
                </c:pt>
                <c:pt idx="169">
                  <c:v>1.1442743473244341</c:v>
                </c:pt>
                <c:pt idx="170">
                  <c:v>1.1438417875356348</c:v>
                </c:pt>
                <c:pt idx="171">
                  <c:v>1.147001825255475</c:v>
                </c:pt>
                <c:pt idx="172">
                  <c:v>1.1588116523351297</c:v>
                </c:pt>
                <c:pt idx="173">
                  <c:v>1.207146398242726</c:v>
                </c:pt>
                <c:pt idx="174">
                  <c:v>1.2509290192081222</c:v>
                </c:pt>
                <c:pt idx="175">
                  <c:v>1.3340465235303931</c:v>
                </c:pt>
                <c:pt idx="176">
                  <c:v>1.3005327431743037</c:v>
                </c:pt>
                <c:pt idx="177">
                  <c:v>1.2967142393445215</c:v>
                </c:pt>
                <c:pt idx="178">
                  <c:v>1.3132483138443698</c:v>
                </c:pt>
                <c:pt idx="179">
                  <c:v>1.3502723830836234</c:v>
                </c:pt>
                <c:pt idx="180">
                  <c:v>1.4120896160849596</c:v>
                </c:pt>
                <c:pt idx="181">
                  <c:v>1.4085822398723253</c:v>
                </c:pt>
                <c:pt idx="182">
                  <c:v>1.3908442745759073</c:v>
                </c:pt>
                <c:pt idx="183">
                  <c:v>1.3944688420077229</c:v>
                </c:pt>
                <c:pt idx="184">
                  <c:v>1.4445066276762706</c:v>
                </c:pt>
                <c:pt idx="185">
                  <c:v>1.4784009506798066</c:v>
                </c:pt>
                <c:pt idx="186">
                  <c:v>1.5103635900092751</c:v>
                </c:pt>
                <c:pt idx="187">
                  <c:v>1.6708137021878873</c:v>
                </c:pt>
                <c:pt idx="188">
                  <c:v>1.4662901519862068</c:v>
                </c:pt>
                <c:pt idx="189">
                  <c:v>1.4662901519862068</c:v>
                </c:pt>
                <c:pt idx="190">
                  <c:v>1.4662901519862068</c:v>
                </c:pt>
                <c:pt idx="191">
                  <c:v>1.4662901519862068</c:v>
                </c:pt>
                <c:pt idx="192">
                  <c:v>1.4662901519862068</c:v>
                </c:pt>
                <c:pt idx="193">
                  <c:v>1.4662901519862068</c:v>
                </c:pt>
                <c:pt idx="194">
                  <c:v>1.2564105124116356</c:v>
                </c:pt>
                <c:pt idx="195">
                  <c:v>1.2564105124116356</c:v>
                </c:pt>
                <c:pt idx="196">
                  <c:v>1.2564105124116356</c:v>
                </c:pt>
                <c:pt idx="197">
                  <c:v>1.2564105124116356</c:v>
                </c:pt>
                <c:pt idx="198">
                  <c:v>1.2564105124116356</c:v>
                </c:pt>
                <c:pt idx="199">
                  <c:v>1.2712954866185462</c:v>
                </c:pt>
                <c:pt idx="200">
                  <c:v>1.3881061633538043</c:v>
                </c:pt>
                <c:pt idx="201">
                  <c:v>1.3555109492416195</c:v>
                </c:pt>
                <c:pt idx="202">
                  <c:v>1.3745528729091823</c:v>
                </c:pt>
                <c:pt idx="203">
                  <c:v>1.3683655984994521</c:v>
                </c:pt>
                <c:pt idx="204">
                  <c:v>1.4092823634556928</c:v>
                </c:pt>
                <c:pt idx="205">
                  <c:v>1.4136915419999945</c:v>
                </c:pt>
                <c:pt idx="206">
                  <c:v>1.4080944777446214</c:v>
                </c:pt>
                <c:pt idx="207">
                  <c:v>1.3647896218470503</c:v>
                </c:pt>
                <c:pt idx="208">
                  <c:v>1.3647896218470503</c:v>
                </c:pt>
                <c:pt idx="209">
                  <c:v>1.3647896218470503</c:v>
                </c:pt>
                <c:pt idx="210">
                  <c:v>1.3680082913883089</c:v>
                </c:pt>
                <c:pt idx="211">
                  <c:v>1.3707450918149229</c:v>
                </c:pt>
                <c:pt idx="212">
                  <c:v>1.367630457835447</c:v>
                </c:pt>
                <c:pt idx="213">
                  <c:v>1.3689483373054765</c:v>
                </c:pt>
                <c:pt idx="214">
                  <c:v>1.4433480516533987</c:v>
                </c:pt>
                <c:pt idx="215">
                  <c:v>1.4710428682292171</c:v>
                </c:pt>
                <c:pt idx="216">
                  <c:v>1.5049206554070036</c:v>
                </c:pt>
                <c:pt idx="217">
                  <c:v>1.5318569892862359</c:v>
                </c:pt>
                <c:pt idx="218">
                  <c:v>1.5511779069541363</c:v>
                </c:pt>
                <c:pt idx="219">
                  <c:v>1.5280343479886749</c:v>
                </c:pt>
                <c:pt idx="220">
                  <c:v>1.5441129008284558</c:v>
                </c:pt>
                <c:pt idx="221">
                  <c:v>1.5786198067222428</c:v>
                </c:pt>
                <c:pt idx="222">
                  <c:v>1.5811780380035034</c:v>
                </c:pt>
                <c:pt idx="223">
                  <c:v>1.4790151490552303</c:v>
                </c:pt>
                <c:pt idx="224">
                  <c:v>1.4790151490552303</c:v>
                </c:pt>
                <c:pt idx="225">
                  <c:v>1.4790151490552303</c:v>
                </c:pt>
                <c:pt idx="226">
                  <c:v>1.4790151490552303</c:v>
                </c:pt>
                <c:pt idx="227">
                  <c:v>1.4790151490552303</c:v>
                </c:pt>
                <c:pt idx="228">
                  <c:v>1.4790151490552303</c:v>
                </c:pt>
                <c:pt idx="229">
                  <c:v>1.483329023532735</c:v>
                </c:pt>
                <c:pt idx="230">
                  <c:v>1.5127163960340542</c:v>
                </c:pt>
                <c:pt idx="231">
                  <c:v>1.5403517992093012</c:v>
                </c:pt>
                <c:pt idx="232">
                  <c:v>1.5524396368252038</c:v>
                </c:pt>
                <c:pt idx="233">
                  <c:v>1.5427958940410926</c:v>
                </c:pt>
                <c:pt idx="234">
                  <c:v>1.5900719428373185</c:v>
                </c:pt>
                <c:pt idx="235">
                  <c:v>1.6420742500800674</c:v>
                </c:pt>
                <c:pt idx="236">
                  <c:v>1.6452248475845714</c:v>
                </c:pt>
                <c:pt idx="237">
                  <c:v>1.7177806305586052</c:v>
                </c:pt>
                <c:pt idx="238">
                  <c:v>1.728028073014084</c:v>
                </c:pt>
                <c:pt idx="239">
                  <c:v>1.6840940301806266</c:v>
                </c:pt>
                <c:pt idx="240">
                  <c:v>1.7155426805972078</c:v>
                </c:pt>
                <c:pt idx="241">
                  <c:v>1.7372888192590985</c:v>
                </c:pt>
                <c:pt idx="242">
                  <c:v>1.7372888192590985</c:v>
                </c:pt>
                <c:pt idx="243">
                  <c:v>1.7999064668945275</c:v>
                </c:pt>
                <c:pt idx="244">
                  <c:v>1.841882214436636</c:v>
                </c:pt>
                <c:pt idx="245">
                  <c:v>1.8771883257478847</c:v>
                </c:pt>
                <c:pt idx="246">
                  <c:v>1.8479776238203858</c:v>
                </c:pt>
                <c:pt idx="247">
                  <c:v>1.8656012051794368</c:v>
                </c:pt>
                <c:pt idx="248">
                  <c:v>1.8740080728519239</c:v>
                </c:pt>
                <c:pt idx="249">
                  <c:v>1.8014377330883293</c:v>
                </c:pt>
                <c:pt idx="250">
                  <c:v>1.8014377330883293</c:v>
                </c:pt>
                <c:pt idx="251">
                  <c:v>1.8014377330883293</c:v>
                </c:pt>
                <c:pt idx="252">
                  <c:v>1.8014377330883293</c:v>
                </c:pt>
                <c:pt idx="253">
                  <c:v>1.8014377330883293</c:v>
                </c:pt>
                <c:pt idx="254">
                  <c:v>1.8712229742228241</c:v>
                </c:pt>
                <c:pt idx="255">
                  <c:v>1.8873709077449585</c:v>
                </c:pt>
                <c:pt idx="256">
                  <c:v>1.8997498555220753</c:v>
                </c:pt>
                <c:pt idx="257">
                  <c:v>1.9144728939215265</c:v>
                </c:pt>
                <c:pt idx="258">
                  <c:v>1.8197919257846111</c:v>
                </c:pt>
                <c:pt idx="259">
                  <c:v>1.8197919257846111</c:v>
                </c:pt>
                <c:pt idx="260">
                  <c:v>1.8197919257846111</c:v>
                </c:pt>
                <c:pt idx="261">
                  <c:v>1.8197919257846111</c:v>
                </c:pt>
                <c:pt idx="262">
                  <c:v>1.8197919257846111</c:v>
                </c:pt>
                <c:pt idx="263">
                  <c:v>1.8197919257846111</c:v>
                </c:pt>
                <c:pt idx="264">
                  <c:v>1.7038360628491078</c:v>
                </c:pt>
                <c:pt idx="265">
                  <c:v>1.6867024546614293</c:v>
                </c:pt>
                <c:pt idx="266">
                  <c:v>1.6867024546614293</c:v>
                </c:pt>
                <c:pt idx="267">
                  <c:v>1.6867024546614293</c:v>
                </c:pt>
                <c:pt idx="268">
                  <c:v>1.6867024546614293</c:v>
                </c:pt>
                <c:pt idx="269">
                  <c:v>1.6867024546614293</c:v>
                </c:pt>
                <c:pt idx="270">
                  <c:v>1.6889282367069338</c:v>
                </c:pt>
                <c:pt idx="271">
                  <c:v>1.6773476666120872</c:v>
                </c:pt>
                <c:pt idx="272">
                  <c:v>1.6555093935663441</c:v>
                </c:pt>
                <c:pt idx="273">
                  <c:v>1.7286696454187596</c:v>
                </c:pt>
                <c:pt idx="274">
                  <c:v>1.7427177748523279</c:v>
                </c:pt>
                <c:pt idx="275">
                  <c:v>1.7776689741680447</c:v>
                </c:pt>
                <c:pt idx="276">
                  <c:v>1.8448293575883292</c:v>
                </c:pt>
                <c:pt idx="277">
                  <c:v>1.8277972404918099</c:v>
                </c:pt>
                <c:pt idx="278">
                  <c:v>1.8141361863370817</c:v>
                </c:pt>
                <c:pt idx="279">
                  <c:v>1.9075220287543833</c:v>
                </c:pt>
                <c:pt idx="280">
                  <c:v>1.8981995289670817</c:v>
                </c:pt>
                <c:pt idx="281">
                  <c:v>1.8966671744048351</c:v>
                </c:pt>
                <c:pt idx="282">
                  <c:v>1.9158927852848184</c:v>
                </c:pt>
                <c:pt idx="283">
                  <c:v>1.9146992695733767</c:v>
                </c:pt>
                <c:pt idx="284">
                  <c:v>1.9435375875076186</c:v>
                </c:pt>
                <c:pt idx="285">
                  <c:v>1.9360537960998618</c:v>
                </c:pt>
                <c:pt idx="286">
                  <c:v>1.8859093848386361</c:v>
                </c:pt>
                <c:pt idx="287">
                  <c:v>1.8859093848386361</c:v>
                </c:pt>
                <c:pt idx="288">
                  <c:v>1.8859093848386361</c:v>
                </c:pt>
                <c:pt idx="289">
                  <c:v>1.8859093848386361</c:v>
                </c:pt>
                <c:pt idx="290">
                  <c:v>1.9033985240790978</c:v>
                </c:pt>
                <c:pt idx="291">
                  <c:v>1.9317125308794041</c:v>
                </c:pt>
                <c:pt idx="292">
                  <c:v>1.9295124492941766</c:v>
                </c:pt>
                <c:pt idx="293">
                  <c:v>1.9594683917579026</c:v>
                </c:pt>
                <c:pt idx="294">
                  <c:v>1.9482609186425426</c:v>
                </c:pt>
                <c:pt idx="295">
                  <c:v>1.9636612936456179</c:v>
                </c:pt>
                <c:pt idx="296">
                  <c:v>1.9246020157168608</c:v>
                </c:pt>
                <c:pt idx="297">
                  <c:v>1.9246020157168608</c:v>
                </c:pt>
                <c:pt idx="298">
                  <c:v>1.9482178449516312</c:v>
                </c:pt>
                <c:pt idx="299">
                  <c:v>1.9722185483972503</c:v>
                </c:pt>
                <c:pt idx="300">
                  <c:v>2.0286411446555626</c:v>
                </c:pt>
                <c:pt idx="301">
                  <c:v>2.0267167736013203</c:v>
                </c:pt>
                <c:pt idx="302">
                  <c:v>2.0348915926700561</c:v>
                </c:pt>
                <c:pt idx="303">
                  <c:v>2.075072423334714</c:v>
                </c:pt>
                <c:pt idx="304">
                  <c:v>2.1885486756209049</c:v>
                </c:pt>
                <c:pt idx="305">
                  <c:v>2.2366117208867586</c:v>
                </c:pt>
                <c:pt idx="306">
                  <c:v>2.2939887990299876</c:v>
                </c:pt>
                <c:pt idx="307">
                  <c:v>2.367238178919425</c:v>
                </c:pt>
                <c:pt idx="308">
                  <c:v>2.3946102896217631</c:v>
                </c:pt>
                <c:pt idx="309">
                  <c:v>2.4305576917857024</c:v>
                </c:pt>
                <c:pt idx="310">
                  <c:v>2.4581299447751661</c:v>
                </c:pt>
                <c:pt idx="311">
                  <c:v>2.6530918481150279</c:v>
                </c:pt>
                <c:pt idx="312">
                  <c:v>2.7023711559275396</c:v>
                </c:pt>
                <c:pt idx="313">
                  <c:v>2.7512810014321021</c:v>
                </c:pt>
                <c:pt idx="314">
                  <c:v>2.8458675966599123</c:v>
                </c:pt>
                <c:pt idx="315">
                  <c:v>2.6544620218586044</c:v>
                </c:pt>
                <c:pt idx="316">
                  <c:v>2.6544620218586044</c:v>
                </c:pt>
                <c:pt idx="317">
                  <c:v>2.6603447793852517</c:v>
                </c:pt>
                <c:pt idx="318">
                  <c:v>2.5566906211795168</c:v>
                </c:pt>
                <c:pt idx="319">
                  <c:v>2.5566906211795168</c:v>
                </c:pt>
                <c:pt idx="320">
                  <c:v>2.5566906211795168</c:v>
                </c:pt>
                <c:pt idx="321">
                  <c:v>2.6255886837084019</c:v>
                </c:pt>
                <c:pt idx="322">
                  <c:v>2.7633011483212035</c:v>
                </c:pt>
                <c:pt idx="323">
                  <c:v>2.8981777325176061</c:v>
                </c:pt>
                <c:pt idx="324">
                  <c:v>2.8376625761405458</c:v>
                </c:pt>
                <c:pt idx="325">
                  <c:v>3.0214460674817691</c:v>
                </c:pt>
                <c:pt idx="326">
                  <c:v>3.2258323200353463</c:v>
                </c:pt>
                <c:pt idx="327">
                  <c:v>3.3971319029931664</c:v>
                </c:pt>
                <c:pt idx="328">
                  <c:v>3.204367815507156</c:v>
                </c:pt>
                <c:pt idx="329">
                  <c:v>3.0617895059932714</c:v>
                </c:pt>
                <c:pt idx="330">
                  <c:v>3.0617895059932714</c:v>
                </c:pt>
                <c:pt idx="331">
                  <c:v>3.0617895059932714</c:v>
                </c:pt>
                <c:pt idx="332">
                  <c:v>3.0617895059932714</c:v>
                </c:pt>
                <c:pt idx="333">
                  <c:v>2.9530064203650452</c:v>
                </c:pt>
                <c:pt idx="334">
                  <c:v>3.103597493749215</c:v>
                </c:pt>
                <c:pt idx="335">
                  <c:v>3.2684821435151097</c:v>
                </c:pt>
                <c:pt idx="336">
                  <c:v>3.3779846975864083</c:v>
                </c:pt>
                <c:pt idx="337">
                  <c:v>3.4143633733751249</c:v>
                </c:pt>
                <c:pt idx="338">
                  <c:v>3.4095580862258212</c:v>
                </c:pt>
                <c:pt idx="339">
                  <c:v>3.6471049751522338</c:v>
                </c:pt>
                <c:pt idx="340">
                  <c:v>3.8865385184817538</c:v>
                </c:pt>
                <c:pt idx="341">
                  <c:v>3.7086633551146351</c:v>
                </c:pt>
                <c:pt idx="342">
                  <c:v>3.8083790303011869</c:v>
                </c:pt>
                <c:pt idx="343">
                  <c:v>3.8330702539117691</c:v>
                </c:pt>
                <c:pt idx="344">
                  <c:v>4.0012533182454115</c:v>
                </c:pt>
                <c:pt idx="345">
                  <c:v>4.0153705886835853</c:v>
                </c:pt>
                <c:pt idx="346">
                  <c:v>3.610210310870678</c:v>
                </c:pt>
                <c:pt idx="347">
                  <c:v>3.610210310870678</c:v>
                </c:pt>
                <c:pt idx="348">
                  <c:v>3.610210310870678</c:v>
                </c:pt>
                <c:pt idx="349">
                  <c:v>3.610210310870678</c:v>
                </c:pt>
                <c:pt idx="350">
                  <c:v>3.610210310870678</c:v>
                </c:pt>
                <c:pt idx="351">
                  <c:v>3.610210310870678</c:v>
                </c:pt>
                <c:pt idx="352">
                  <c:v>3.4639604873602039</c:v>
                </c:pt>
                <c:pt idx="353">
                  <c:v>3.5201143826847221</c:v>
                </c:pt>
                <c:pt idx="354">
                  <c:v>3.6998037922270388</c:v>
                </c:pt>
                <c:pt idx="355">
                  <c:v>3.6553674595391894</c:v>
                </c:pt>
                <c:pt idx="356">
                  <c:v>3.6775378366891807</c:v>
                </c:pt>
                <c:pt idx="357">
                  <c:v>3.7312312692092959</c:v>
                </c:pt>
                <c:pt idx="358">
                  <c:v>3.5461045500446891</c:v>
                </c:pt>
                <c:pt idx="359">
                  <c:v>3.5461045500446891</c:v>
                </c:pt>
                <c:pt idx="360">
                  <c:v>3.5461045500446891</c:v>
                </c:pt>
                <c:pt idx="361">
                  <c:v>3.5461045500446891</c:v>
                </c:pt>
                <c:pt idx="362">
                  <c:v>3.5461045500446891</c:v>
                </c:pt>
                <c:pt idx="363">
                  <c:v>3.4972538773110382</c:v>
                </c:pt>
                <c:pt idx="364">
                  <c:v>3.4972538773110382</c:v>
                </c:pt>
                <c:pt idx="365">
                  <c:v>3.4972538773110382</c:v>
                </c:pt>
                <c:pt idx="366">
                  <c:v>3.4972538773110382</c:v>
                </c:pt>
                <c:pt idx="367">
                  <c:v>3.4972538773110382</c:v>
                </c:pt>
                <c:pt idx="368">
                  <c:v>3.5485109528634977</c:v>
                </c:pt>
                <c:pt idx="369">
                  <c:v>3.5489884682346329</c:v>
                </c:pt>
                <c:pt idx="370">
                  <c:v>3.5579497245062242</c:v>
                </c:pt>
                <c:pt idx="371">
                  <c:v>3.4353302731548387</c:v>
                </c:pt>
                <c:pt idx="372">
                  <c:v>3.4353302731548387</c:v>
                </c:pt>
                <c:pt idx="373">
                  <c:v>3.4353302731548387</c:v>
                </c:pt>
                <c:pt idx="374">
                  <c:v>3.4353302731548387</c:v>
                </c:pt>
                <c:pt idx="375">
                  <c:v>3.4353302731548387</c:v>
                </c:pt>
                <c:pt idx="376">
                  <c:v>3.4353302731548387</c:v>
                </c:pt>
                <c:pt idx="377">
                  <c:v>3.4353302731548387</c:v>
                </c:pt>
                <c:pt idx="378">
                  <c:v>3.4353302731548387</c:v>
                </c:pt>
                <c:pt idx="379">
                  <c:v>3.4353302731548387</c:v>
                </c:pt>
                <c:pt idx="380">
                  <c:v>3.4353302731548387</c:v>
                </c:pt>
                <c:pt idx="381">
                  <c:v>3.4353302731548387</c:v>
                </c:pt>
                <c:pt idx="382">
                  <c:v>3.5747993306716408</c:v>
                </c:pt>
                <c:pt idx="383">
                  <c:v>3.5047334097910556</c:v>
                </c:pt>
                <c:pt idx="384">
                  <c:v>4.3436294472484107</c:v>
                </c:pt>
                <c:pt idx="385">
                  <c:v>4.1126350562853062</c:v>
                </c:pt>
                <c:pt idx="386">
                  <c:v>4.3320982630468192</c:v>
                </c:pt>
                <c:pt idx="387">
                  <c:v>4.209201094757832</c:v>
                </c:pt>
                <c:pt idx="388">
                  <c:v>4.2469090955487001</c:v>
                </c:pt>
                <c:pt idx="389">
                  <c:v>4.2469090955487001</c:v>
                </c:pt>
                <c:pt idx="390">
                  <c:v>4.2469090955487001</c:v>
                </c:pt>
                <c:pt idx="391">
                  <c:v>4.2469090955487001</c:v>
                </c:pt>
                <c:pt idx="392">
                  <c:v>4.4650420436825353</c:v>
                </c:pt>
                <c:pt idx="393">
                  <c:v>4.3338092843646328</c:v>
                </c:pt>
                <c:pt idx="394">
                  <c:v>4.3826559088615547</c:v>
                </c:pt>
                <c:pt idx="395">
                  <c:v>4.5704765512052559</c:v>
                </c:pt>
                <c:pt idx="396">
                  <c:v>4.3207910214285459</c:v>
                </c:pt>
                <c:pt idx="397">
                  <c:v>4.3207910214285459</c:v>
                </c:pt>
                <c:pt idx="398">
                  <c:v>4.3207910214285459</c:v>
                </c:pt>
                <c:pt idx="399">
                  <c:v>4.4612262634708495</c:v>
                </c:pt>
                <c:pt idx="400">
                  <c:v>5.0112289031422268</c:v>
                </c:pt>
                <c:pt idx="401">
                  <c:v>4.9511942110318188</c:v>
                </c:pt>
                <c:pt idx="402">
                  <c:v>5.2053828579316921</c:v>
                </c:pt>
                <c:pt idx="403">
                  <c:v>5.268544885343176</c:v>
                </c:pt>
                <c:pt idx="404">
                  <c:v>5.1491995104966684</c:v>
                </c:pt>
                <c:pt idx="405">
                  <c:v>5.2089878506731866</c:v>
                </c:pt>
                <c:pt idx="406">
                  <c:v>5.6239162902162949</c:v>
                </c:pt>
                <c:pt idx="407">
                  <c:v>5.9845404156669764</c:v>
                </c:pt>
                <c:pt idx="408">
                  <c:v>6.2750087903834304</c:v>
                </c:pt>
                <c:pt idx="409">
                  <c:v>6.6630237128847201</c:v>
                </c:pt>
                <c:pt idx="410">
                  <c:v>6.4424192294981237</c:v>
                </c:pt>
                <c:pt idx="411">
                  <c:v>6.7423613814625591</c:v>
                </c:pt>
                <c:pt idx="412">
                  <c:v>6.6731297266217187</c:v>
                </c:pt>
                <c:pt idx="413">
                  <c:v>6.4095902897249957</c:v>
                </c:pt>
                <c:pt idx="414">
                  <c:v>6.4095902897249957</c:v>
                </c:pt>
                <c:pt idx="415">
                  <c:v>6.4095902897249957</c:v>
                </c:pt>
                <c:pt idx="416">
                  <c:v>6.4095902897249957</c:v>
                </c:pt>
                <c:pt idx="417">
                  <c:v>6.4095902897249957</c:v>
                </c:pt>
                <c:pt idx="418">
                  <c:v>6.4095902897249957</c:v>
                </c:pt>
                <c:pt idx="419">
                  <c:v>6.692373836885178</c:v>
                </c:pt>
                <c:pt idx="420">
                  <c:v>6.749375024982208</c:v>
                </c:pt>
                <c:pt idx="421">
                  <c:v>6.7197315716808763</c:v>
                </c:pt>
                <c:pt idx="422">
                  <c:v>6.7667900440735007</c:v>
                </c:pt>
                <c:pt idx="423">
                  <c:v>6.7664508044603462</c:v>
                </c:pt>
                <c:pt idx="424">
                  <c:v>7.0696135668998545</c:v>
                </c:pt>
                <c:pt idx="425">
                  <c:v>7.0484307335247811</c:v>
                </c:pt>
                <c:pt idx="426">
                  <c:v>7.2616303439874814</c:v>
                </c:pt>
                <c:pt idx="427">
                  <c:v>7.5528428484835883</c:v>
                </c:pt>
                <c:pt idx="428">
                  <c:v>7.0692275883751892</c:v>
                </c:pt>
                <c:pt idx="429">
                  <c:v>7.0692275883751892</c:v>
                </c:pt>
                <c:pt idx="430">
                  <c:v>7.0692275883751892</c:v>
                </c:pt>
                <c:pt idx="431">
                  <c:v>7.0692275883751892</c:v>
                </c:pt>
                <c:pt idx="432">
                  <c:v>7.0692275883751892</c:v>
                </c:pt>
                <c:pt idx="433">
                  <c:v>7.073471422220754</c:v>
                </c:pt>
                <c:pt idx="434">
                  <c:v>6.5027659498812209</c:v>
                </c:pt>
                <c:pt idx="435">
                  <c:v>6.5027659498812209</c:v>
                </c:pt>
                <c:pt idx="436">
                  <c:v>6.5027659498812209</c:v>
                </c:pt>
                <c:pt idx="437">
                  <c:v>6.5027659498812209</c:v>
                </c:pt>
                <c:pt idx="438">
                  <c:v>6.5027659498812209</c:v>
                </c:pt>
                <c:pt idx="439">
                  <c:v>6.5027659498812209</c:v>
                </c:pt>
                <c:pt idx="440">
                  <c:v>6.5027659498812209</c:v>
                </c:pt>
                <c:pt idx="441">
                  <c:v>6.5027659498812209</c:v>
                </c:pt>
                <c:pt idx="442">
                  <c:v>6.5027659498812209</c:v>
                </c:pt>
                <c:pt idx="443">
                  <c:v>6.5027659498812209</c:v>
                </c:pt>
                <c:pt idx="444">
                  <c:v>7.3781551947220567</c:v>
                </c:pt>
                <c:pt idx="445">
                  <c:v>7.1236440838631037</c:v>
                </c:pt>
                <c:pt idx="446">
                  <c:v>7.0891236024456523</c:v>
                </c:pt>
                <c:pt idx="447">
                  <c:v>6.5901744683927417</c:v>
                </c:pt>
                <c:pt idx="448">
                  <c:v>6.5901744683927417</c:v>
                </c:pt>
                <c:pt idx="449">
                  <c:v>6.5901744683927417</c:v>
                </c:pt>
                <c:pt idx="450">
                  <c:v>6.3997888794141407</c:v>
                </c:pt>
                <c:pt idx="451">
                  <c:v>6.3997888794141407</c:v>
                </c:pt>
                <c:pt idx="452">
                  <c:v>6.3448227974842499</c:v>
                </c:pt>
                <c:pt idx="453">
                  <c:v>6.8474072513432951</c:v>
                </c:pt>
                <c:pt idx="454">
                  <c:v>6.8051231989782242</c:v>
                </c:pt>
                <c:pt idx="455">
                  <c:v>6.7861162695529815</c:v>
                </c:pt>
                <c:pt idx="456">
                  <c:v>7.0724228754164846</c:v>
                </c:pt>
                <c:pt idx="457">
                  <c:v>7.1784271012103149</c:v>
                </c:pt>
                <c:pt idx="458">
                  <c:v>7.1875222516827275</c:v>
                </c:pt>
                <c:pt idx="459">
                  <c:v>7.0378164129844025</c:v>
                </c:pt>
                <c:pt idx="460">
                  <c:v>7.0378164129844025</c:v>
                </c:pt>
                <c:pt idx="461">
                  <c:v>7.0378164129844025</c:v>
                </c:pt>
                <c:pt idx="462">
                  <c:v>7.0378164129844025</c:v>
                </c:pt>
                <c:pt idx="463">
                  <c:v>7.1281157598016245</c:v>
                </c:pt>
                <c:pt idx="464">
                  <c:v>7.4237295231272817</c:v>
                </c:pt>
                <c:pt idx="465">
                  <c:v>7.6838390061566733</c:v>
                </c:pt>
                <c:pt idx="466">
                  <c:v>7.6998929034395536</c:v>
                </c:pt>
                <c:pt idx="467">
                  <c:v>7.7715296619309413</c:v>
                </c:pt>
                <c:pt idx="468">
                  <c:v>8.7705375384623245</c:v>
                </c:pt>
                <c:pt idx="469">
                  <c:v>9.0930574457833693</c:v>
                </c:pt>
                <c:pt idx="470">
                  <c:v>9.3902656714722159</c:v>
                </c:pt>
                <c:pt idx="471">
                  <c:v>9.1429409705247355</c:v>
                </c:pt>
                <c:pt idx="472">
                  <c:v>9.2192636225741804</c:v>
                </c:pt>
                <c:pt idx="473">
                  <c:v>9.0259123827780972</c:v>
                </c:pt>
                <c:pt idx="474">
                  <c:v>9.0259123827780972</c:v>
                </c:pt>
                <c:pt idx="475">
                  <c:v>9.0259123827780972</c:v>
                </c:pt>
                <c:pt idx="476">
                  <c:v>9.504884376932484</c:v>
                </c:pt>
                <c:pt idx="477">
                  <c:v>9.5367439934989982</c:v>
                </c:pt>
                <c:pt idx="478">
                  <c:v>9.5000931213184057</c:v>
                </c:pt>
                <c:pt idx="479">
                  <c:v>9.3766067116772636</c:v>
                </c:pt>
                <c:pt idx="480">
                  <c:v>9.3766067116772636</c:v>
                </c:pt>
                <c:pt idx="481">
                  <c:v>9.3766067116772636</c:v>
                </c:pt>
                <c:pt idx="482">
                  <c:v>9.3766067116772636</c:v>
                </c:pt>
                <c:pt idx="483">
                  <c:v>9.1798111215060167</c:v>
                </c:pt>
                <c:pt idx="484">
                  <c:v>9.1356499901863408</c:v>
                </c:pt>
                <c:pt idx="485">
                  <c:v>9.7720393930635634</c:v>
                </c:pt>
                <c:pt idx="486">
                  <c:v>9.7350077764876843</c:v>
                </c:pt>
                <c:pt idx="487">
                  <c:v>10.271530447739629</c:v>
                </c:pt>
                <c:pt idx="488">
                  <c:v>10.746186440764244</c:v>
                </c:pt>
                <c:pt idx="489">
                  <c:v>11.240342182901259</c:v>
                </c:pt>
                <c:pt idx="490">
                  <c:v>11.445600924205454</c:v>
                </c:pt>
                <c:pt idx="491">
                  <c:v>11.719031642942555</c:v>
                </c:pt>
                <c:pt idx="492">
                  <c:v>11.762636835846296</c:v>
                </c:pt>
                <c:pt idx="493">
                  <c:v>11.151829178237138</c:v>
                </c:pt>
                <c:pt idx="494">
                  <c:v>11.151829178237138</c:v>
                </c:pt>
                <c:pt idx="495">
                  <c:v>11.151829178237138</c:v>
                </c:pt>
                <c:pt idx="496">
                  <c:v>10.679262191993287</c:v>
                </c:pt>
                <c:pt idx="497">
                  <c:v>10.679262191993287</c:v>
                </c:pt>
                <c:pt idx="498">
                  <c:v>10.679262191993287</c:v>
                </c:pt>
                <c:pt idx="499">
                  <c:v>10.679262191993287</c:v>
                </c:pt>
                <c:pt idx="500">
                  <c:v>10.679262191993287</c:v>
                </c:pt>
                <c:pt idx="501">
                  <c:v>10.803417881957238</c:v>
                </c:pt>
                <c:pt idx="502">
                  <c:v>11.910158772332705</c:v>
                </c:pt>
                <c:pt idx="503">
                  <c:v>12.815605752148937</c:v>
                </c:pt>
                <c:pt idx="504">
                  <c:v>12.550720407765407</c:v>
                </c:pt>
                <c:pt idx="505">
                  <c:v>12.682853446015027</c:v>
                </c:pt>
                <c:pt idx="506">
                  <c:v>13.083910982506922</c:v>
                </c:pt>
                <c:pt idx="507">
                  <c:v>13.351156540962318</c:v>
                </c:pt>
                <c:pt idx="508">
                  <c:v>13.140517964951421</c:v>
                </c:pt>
                <c:pt idx="509">
                  <c:v>13.437297600566881</c:v>
                </c:pt>
                <c:pt idx="510">
                  <c:v>13.087622617339374</c:v>
                </c:pt>
                <c:pt idx="511">
                  <c:v>13.087622617339374</c:v>
                </c:pt>
                <c:pt idx="512">
                  <c:v>13.93949087067789</c:v>
                </c:pt>
                <c:pt idx="513">
                  <c:v>14.795165350068684</c:v>
                </c:pt>
                <c:pt idx="514">
                  <c:v>15.568654470082134</c:v>
                </c:pt>
                <c:pt idx="515">
                  <c:v>15.949928937570647</c:v>
                </c:pt>
                <c:pt idx="516">
                  <c:v>15.680064765512592</c:v>
                </c:pt>
                <c:pt idx="517">
                  <c:v>16.227103601163751</c:v>
                </c:pt>
                <c:pt idx="518">
                  <c:v>17.40367014002603</c:v>
                </c:pt>
                <c:pt idx="519">
                  <c:v>17.560651389820322</c:v>
                </c:pt>
                <c:pt idx="520">
                  <c:v>17.954849679617023</c:v>
                </c:pt>
                <c:pt idx="521">
                  <c:v>18.484463189024034</c:v>
                </c:pt>
                <c:pt idx="522">
                  <c:v>18.89594434378786</c:v>
                </c:pt>
                <c:pt idx="523">
                  <c:v>22.661591226617599</c:v>
                </c:pt>
                <c:pt idx="524">
                  <c:v>28.383001558995502</c:v>
                </c:pt>
                <c:pt idx="525">
                  <c:v>26.273587694153854</c:v>
                </c:pt>
                <c:pt idx="526">
                  <c:v>24.067604406455413</c:v>
                </c:pt>
                <c:pt idx="527">
                  <c:v>24.507152216670598</c:v>
                </c:pt>
                <c:pt idx="528">
                  <c:v>24.507152216670598</c:v>
                </c:pt>
                <c:pt idx="529">
                  <c:v>25.199674591159823</c:v>
                </c:pt>
                <c:pt idx="530">
                  <c:v>23.742278194155286</c:v>
                </c:pt>
                <c:pt idx="531">
                  <c:v>23.96771825835717</c:v>
                </c:pt>
                <c:pt idx="532">
                  <c:v>25.621468232328088</c:v>
                </c:pt>
                <c:pt idx="533">
                  <c:v>28.212279602865909</c:v>
                </c:pt>
                <c:pt idx="534">
                  <c:v>27.696288357785011</c:v>
                </c:pt>
                <c:pt idx="535">
                  <c:v>27.657796523490862</c:v>
                </c:pt>
                <c:pt idx="536">
                  <c:v>25.722465494116754</c:v>
                </c:pt>
                <c:pt idx="537">
                  <c:v>25.722465494116754</c:v>
                </c:pt>
                <c:pt idx="538">
                  <c:v>25.722465494116754</c:v>
                </c:pt>
                <c:pt idx="539">
                  <c:v>25.722465494116754</c:v>
                </c:pt>
                <c:pt idx="540">
                  <c:v>25.722465494116754</c:v>
                </c:pt>
                <c:pt idx="541">
                  <c:v>25.722465494116754</c:v>
                </c:pt>
                <c:pt idx="542">
                  <c:v>25.722465494116754</c:v>
                </c:pt>
                <c:pt idx="543">
                  <c:v>25.722465494116754</c:v>
                </c:pt>
                <c:pt idx="544">
                  <c:v>25.30498979260868</c:v>
                </c:pt>
                <c:pt idx="545">
                  <c:v>23.336637522854986</c:v>
                </c:pt>
                <c:pt idx="546">
                  <c:v>23.336637522854986</c:v>
                </c:pt>
                <c:pt idx="547">
                  <c:v>23.336637522854986</c:v>
                </c:pt>
                <c:pt idx="548">
                  <c:v>23.336637522854986</c:v>
                </c:pt>
                <c:pt idx="549">
                  <c:v>23.336637522854986</c:v>
                </c:pt>
                <c:pt idx="550">
                  <c:v>23.336637522854986</c:v>
                </c:pt>
                <c:pt idx="551">
                  <c:v>23.677604357390614</c:v>
                </c:pt>
                <c:pt idx="552">
                  <c:v>24.297854779878985</c:v>
                </c:pt>
                <c:pt idx="553">
                  <c:v>27.148793181181478</c:v>
                </c:pt>
                <c:pt idx="554">
                  <c:v>27.30066255983062</c:v>
                </c:pt>
                <c:pt idx="555">
                  <c:v>25.666080146134878</c:v>
                </c:pt>
                <c:pt idx="556">
                  <c:v>23.629472837583585</c:v>
                </c:pt>
                <c:pt idx="557">
                  <c:v>23.629472837583585</c:v>
                </c:pt>
                <c:pt idx="558">
                  <c:v>23.629472837583585</c:v>
                </c:pt>
                <c:pt idx="559">
                  <c:v>23.629472837583585</c:v>
                </c:pt>
                <c:pt idx="560">
                  <c:v>23.629472837583585</c:v>
                </c:pt>
                <c:pt idx="561">
                  <c:v>23.629472837583585</c:v>
                </c:pt>
                <c:pt idx="562">
                  <c:v>22.661599107267957</c:v>
                </c:pt>
                <c:pt idx="563">
                  <c:v>22.661599107267957</c:v>
                </c:pt>
                <c:pt idx="564">
                  <c:v>22.661599107267957</c:v>
                </c:pt>
                <c:pt idx="565">
                  <c:v>22.661599107267957</c:v>
                </c:pt>
                <c:pt idx="566">
                  <c:v>22.661599107267957</c:v>
                </c:pt>
                <c:pt idx="567">
                  <c:v>22.661599107267957</c:v>
                </c:pt>
                <c:pt idx="568">
                  <c:v>22.661599107267957</c:v>
                </c:pt>
                <c:pt idx="569">
                  <c:v>20.37931057504095</c:v>
                </c:pt>
                <c:pt idx="570">
                  <c:v>20.37931057504095</c:v>
                </c:pt>
                <c:pt idx="571">
                  <c:v>20.37931057504095</c:v>
                </c:pt>
                <c:pt idx="572">
                  <c:v>20.37931057504095</c:v>
                </c:pt>
                <c:pt idx="573">
                  <c:v>20.37931057504095</c:v>
                </c:pt>
                <c:pt idx="574">
                  <c:v>20.22003217047892</c:v>
                </c:pt>
                <c:pt idx="575">
                  <c:v>20.707459933319694</c:v>
                </c:pt>
                <c:pt idx="576">
                  <c:v>21.33298896170675</c:v>
                </c:pt>
                <c:pt idx="577">
                  <c:v>20.446279904231808</c:v>
                </c:pt>
                <c:pt idx="578">
                  <c:v>20.446279904231808</c:v>
                </c:pt>
                <c:pt idx="579">
                  <c:v>20.446279904231808</c:v>
                </c:pt>
                <c:pt idx="580">
                  <c:v>20.446279904231808</c:v>
                </c:pt>
                <c:pt idx="581">
                  <c:v>20.446279904231808</c:v>
                </c:pt>
                <c:pt idx="582">
                  <c:v>20.446279904231808</c:v>
                </c:pt>
                <c:pt idx="583">
                  <c:v>20.446279904231808</c:v>
                </c:pt>
                <c:pt idx="584">
                  <c:v>20.446279904231808</c:v>
                </c:pt>
                <c:pt idx="585">
                  <c:v>20.446279904231808</c:v>
                </c:pt>
                <c:pt idx="586">
                  <c:v>20.446279904231808</c:v>
                </c:pt>
                <c:pt idx="587">
                  <c:v>20.446279904231808</c:v>
                </c:pt>
                <c:pt idx="588">
                  <c:v>21.612341231358648</c:v>
                </c:pt>
                <c:pt idx="589">
                  <c:v>21.327671954199094</c:v>
                </c:pt>
                <c:pt idx="590">
                  <c:v>20.110802709333864</c:v>
                </c:pt>
                <c:pt idx="591">
                  <c:v>20.110802709333864</c:v>
                </c:pt>
                <c:pt idx="592">
                  <c:v>19.371259210743112</c:v>
                </c:pt>
                <c:pt idx="593">
                  <c:v>19.371259210743112</c:v>
                </c:pt>
                <c:pt idx="594">
                  <c:v>20.741827711143557</c:v>
                </c:pt>
                <c:pt idx="595">
                  <c:v>20.879543452866816</c:v>
                </c:pt>
                <c:pt idx="596">
                  <c:v>22.672499998557395</c:v>
                </c:pt>
                <c:pt idx="597">
                  <c:v>21.528132394976435</c:v>
                </c:pt>
                <c:pt idx="598">
                  <c:v>22.902229462392949</c:v>
                </c:pt>
                <c:pt idx="599">
                  <c:v>23.266207862875447</c:v>
                </c:pt>
                <c:pt idx="600">
                  <c:v>21.810909913558188</c:v>
                </c:pt>
                <c:pt idx="601">
                  <c:v>21.810909913558188</c:v>
                </c:pt>
                <c:pt idx="602">
                  <c:v>21.810909913558188</c:v>
                </c:pt>
                <c:pt idx="603">
                  <c:v>21.810909913558188</c:v>
                </c:pt>
                <c:pt idx="604">
                  <c:v>21.810909913558188</c:v>
                </c:pt>
                <c:pt idx="605">
                  <c:v>21.810909913558188</c:v>
                </c:pt>
                <c:pt idx="606">
                  <c:v>22.566012563344312</c:v>
                </c:pt>
                <c:pt idx="607">
                  <c:v>21.876553237995171</c:v>
                </c:pt>
                <c:pt idx="608">
                  <c:v>23.040241346863386</c:v>
                </c:pt>
                <c:pt idx="609">
                  <c:v>23.325115576349248</c:v>
                </c:pt>
                <c:pt idx="610">
                  <c:v>24.173633959994827</c:v>
                </c:pt>
                <c:pt idx="611">
                  <c:v>24.221812941390297</c:v>
                </c:pt>
                <c:pt idx="612">
                  <c:v>24.349522480760395</c:v>
                </c:pt>
                <c:pt idx="613">
                  <c:v>22.680258122891704</c:v>
                </c:pt>
                <c:pt idx="614">
                  <c:v>22.680258122891704</c:v>
                </c:pt>
                <c:pt idx="615">
                  <c:v>22.680258122891704</c:v>
                </c:pt>
                <c:pt idx="616">
                  <c:v>22.680258122891704</c:v>
                </c:pt>
                <c:pt idx="617">
                  <c:v>22.680258122891704</c:v>
                </c:pt>
                <c:pt idx="618">
                  <c:v>22.680258122891704</c:v>
                </c:pt>
                <c:pt idx="619">
                  <c:v>21.7958625456771</c:v>
                </c:pt>
                <c:pt idx="620">
                  <c:v>21.7958625456771</c:v>
                </c:pt>
                <c:pt idx="621">
                  <c:v>21.7958625456771</c:v>
                </c:pt>
                <c:pt idx="622">
                  <c:v>21.7958625456771</c:v>
                </c:pt>
                <c:pt idx="623">
                  <c:v>21.7958625456771</c:v>
                </c:pt>
                <c:pt idx="624">
                  <c:v>21.7958625456771</c:v>
                </c:pt>
                <c:pt idx="625">
                  <c:v>21.7958625456771</c:v>
                </c:pt>
                <c:pt idx="626">
                  <c:v>22.874488883185002</c:v>
                </c:pt>
                <c:pt idx="627">
                  <c:v>23.624067126329688</c:v>
                </c:pt>
                <c:pt idx="628">
                  <c:v>23.665971055040696</c:v>
                </c:pt>
                <c:pt idx="629">
                  <c:v>23.133747132855952</c:v>
                </c:pt>
                <c:pt idx="630">
                  <c:v>23.534352853063268</c:v>
                </c:pt>
                <c:pt idx="631">
                  <c:v>22.973797833497347</c:v>
                </c:pt>
                <c:pt idx="632">
                  <c:v>22.973797833497347</c:v>
                </c:pt>
                <c:pt idx="633">
                  <c:v>22.973797833497347</c:v>
                </c:pt>
                <c:pt idx="634">
                  <c:v>22.973797833497347</c:v>
                </c:pt>
                <c:pt idx="635">
                  <c:v>22.973797833497347</c:v>
                </c:pt>
                <c:pt idx="636">
                  <c:v>22.973797833497347</c:v>
                </c:pt>
                <c:pt idx="637">
                  <c:v>22.973797833497347</c:v>
                </c:pt>
                <c:pt idx="638">
                  <c:v>22.973797833497347</c:v>
                </c:pt>
                <c:pt idx="639">
                  <c:v>22.973797833497347</c:v>
                </c:pt>
                <c:pt idx="640">
                  <c:v>22.973797833497347</c:v>
                </c:pt>
                <c:pt idx="641">
                  <c:v>24.181253752541306</c:v>
                </c:pt>
                <c:pt idx="642">
                  <c:v>22.228004078839863</c:v>
                </c:pt>
                <c:pt idx="643">
                  <c:v>22.228004078839863</c:v>
                </c:pt>
                <c:pt idx="644">
                  <c:v>22.228004078839863</c:v>
                </c:pt>
                <c:pt idx="645">
                  <c:v>22.228004078839863</c:v>
                </c:pt>
                <c:pt idx="646">
                  <c:v>22.228004078839863</c:v>
                </c:pt>
                <c:pt idx="647">
                  <c:v>21.427975314885391</c:v>
                </c:pt>
                <c:pt idx="648">
                  <c:v>21.427975314885391</c:v>
                </c:pt>
                <c:pt idx="649">
                  <c:v>21.427975314885391</c:v>
                </c:pt>
                <c:pt idx="650">
                  <c:v>24.259887393618513</c:v>
                </c:pt>
                <c:pt idx="651">
                  <c:v>24.280520901021063</c:v>
                </c:pt>
                <c:pt idx="652">
                  <c:v>24.558137817311607</c:v>
                </c:pt>
                <c:pt idx="653">
                  <c:v>25.61248271109957</c:v>
                </c:pt>
                <c:pt idx="654">
                  <c:v>24.780863180918402</c:v>
                </c:pt>
                <c:pt idx="655">
                  <c:v>24.299370635953544</c:v>
                </c:pt>
                <c:pt idx="656">
                  <c:v>24.299370635953544</c:v>
                </c:pt>
                <c:pt idx="657">
                  <c:v>24.688978925071453</c:v>
                </c:pt>
                <c:pt idx="658">
                  <c:v>26.330643982764343</c:v>
                </c:pt>
                <c:pt idx="659">
                  <c:v>26.478730654856363</c:v>
                </c:pt>
                <c:pt idx="660">
                  <c:v>26.201547775834261</c:v>
                </c:pt>
                <c:pt idx="661">
                  <c:v>26.583804637729678</c:v>
                </c:pt>
                <c:pt idx="662">
                  <c:v>28.865738745977438</c:v>
                </c:pt>
                <c:pt idx="663">
                  <c:v>26.330376551629321</c:v>
                </c:pt>
                <c:pt idx="664">
                  <c:v>26.330376551629321</c:v>
                </c:pt>
                <c:pt idx="665">
                  <c:v>25.495033827441311</c:v>
                </c:pt>
                <c:pt idx="666">
                  <c:v>25.495033827441311</c:v>
                </c:pt>
                <c:pt idx="667">
                  <c:v>25.687572007911157</c:v>
                </c:pt>
                <c:pt idx="668">
                  <c:v>25.20068696125028</c:v>
                </c:pt>
                <c:pt idx="669">
                  <c:v>25.20068696125028</c:v>
                </c:pt>
                <c:pt idx="670">
                  <c:v>25.20068696125028</c:v>
                </c:pt>
                <c:pt idx="671">
                  <c:v>25.20068696125028</c:v>
                </c:pt>
                <c:pt idx="672">
                  <c:v>25.089215292281882</c:v>
                </c:pt>
                <c:pt idx="673">
                  <c:v>25.496276942179854</c:v>
                </c:pt>
                <c:pt idx="674">
                  <c:v>24.970348380393673</c:v>
                </c:pt>
                <c:pt idx="675">
                  <c:v>24.241550726784041</c:v>
                </c:pt>
                <c:pt idx="676">
                  <c:v>24.241550726784041</c:v>
                </c:pt>
                <c:pt idx="677">
                  <c:v>24.241550726784041</c:v>
                </c:pt>
                <c:pt idx="678">
                  <c:v>24.241550726784041</c:v>
                </c:pt>
                <c:pt idx="679">
                  <c:v>24.241550726784041</c:v>
                </c:pt>
                <c:pt idx="680">
                  <c:v>24.241550726784041</c:v>
                </c:pt>
                <c:pt idx="681">
                  <c:v>24.241550726784041</c:v>
                </c:pt>
                <c:pt idx="682">
                  <c:v>24.241550726784041</c:v>
                </c:pt>
                <c:pt idx="683">
                  <c:v>23.667520350371369</c:v>
                </c:pt>
                <c:pt idx="684">
                  <c:v>23.667520350371369</c:v>
                </c:pt>
                <c:pt idx="685">
                  <c:v>23.667520350371369</c:v>
                </c:pt>
                <c:pt idx="686">
                  <c:v>23.667520350371369</c:v>
                </c:pt>
                <c:pt idx="687">
                  <c:v>23.667520350371369</c:v>
                </c:pt>
                <c:pt idx="688">
                  <c:v>23.667520350371369</c:v>
                </c:pt>
                <c:pt idx="689">
                  <c:v>23.405470612606564</c:v>
                </c:pt>
                <c:pt idx="690">
                  <c:v>22.356795197450161</c:v>
                </c:pt>
                <c:pt idx="691">
                  <c:v>22.356795197450161</c:v>
                </c:pt>
                <c:pt idx="692">
                  <c:v>22.356795197450161</c:v>
                </c:pt>
                <c:pt idx="693">
                  <c:v>22.356795197450161</c:v>
                </c:pt>
                <c:pt idx="694">
                  <c:v>22.356795197450161</c:v>
                </c:pt>
                <c:pt idx="695">
                  <c:v>22.356795197450161</c:v>
                </c:pt>
                <c:pt idx="696">
                  <c:v>22.356795197450161</c:v>
                </c:pt>
                <c:pt idx="697">
                  <c:v>22.356795197450161</c:v>
                </c:pt>
                <c:pt idx="698">
                  <c:v>22.159124837543335</c:v>
                </c:pt>
                <c:pt idx="699">
                  <c:v>22.421359343785369</c:v>
                </c:pt>
                <c:pt idx="700">
                  <c:v>22.562814368403011</c:v>
                </c:pt>
                <c:pt idx="701">
                  <c:v>22.867982075683361</c:v>
                </c:pt>
                <c:pt idx="702">
                  <c:v>23.097754824815009</c:v>
                </c:pt>
                <c:pt idx="703">
                  <c:v>22.482094577823897</c:v>
                </c:pt>
                <c:pt idx="704">
                  <c:v>22.482094577823897</c:v>
                </c:pt>
                <c:pt idx="705">
                  <c:v>22.541644888217022</c:v>
                </c:pt>
                <c:pt idx="706">
                  <c:v>22.613093472090366</c:v>
                </c:pt>
                <c:pt idx="707">
                  <c:v>22.456060458994749</c:v>
                </c:pt>
                <c:pt idx="708">
                  <c:v>22.182344147484944</c:v>
                </c:pt>
                <c:pt idx="709">
                  <c:v>22.182344147484944</c:v>
                </c:pt>
                <c:pt idx="710">
                  <c:v>22.182344147484944</c:v>
                </c:pt>
                <c:pt idx="711">
                  <c:v>22.182344147484944</c:v>
                </c:pt>
                <c:pt idx="712">
                  <c:v>22.182344147484944</c:v>
                </c:pt>
                <c:pt idx="713">
                  <c:v>22.182344147484944</c:v>
                </c:pt>
                <c:pt idx="714">
                  <c:v>21.455366265943404</c:v>
                </c:pt>
                <c:pt idx="715">
                  <c:v>21.455366265943404</c:v>
                </c:pt>
                <c:pt idx="716">
                  <c:v>21.288673165133723</c:v>
                </c:pt>
                <c:pt idx="717">
                  <c:v>21.288673165133723</c:v>
                </c:pt>
                <c:pt idx="718">
                  <c:v>21.399687373660861</c:v>
                </c:pt>
                <c:pt idx="719">
                  <c:v>21.420581063178808</c:v>
                </c:pt>
                <c:pt idx="720">
                  <c:v>21.272616650757858</c:v>
                </c:pt>
                <c:pt idx="721">
                  <c:v>19.230460528495442</c:v>
                </c:pt>
                <c:pt idx="722">
                  <c:v>19.230460528495442</c:v>
                </c:pt>
                <c:pt idx="723">
                  <c:v>19.230460528495442</c:v>
                </c:pt>
                <c:pt idx="724">
                  <c:v>19.230460528495442</c:v>
                </c:pt>
                <c:pt idx="725">
                  <c:v>19.230460528495442</c:v>
                </c:pt>
                <c:pt idx="726">
                  <c:v>19.230460528495442</c:v>
                </c:pt>
                <c:pt idx="727">
                  <c:v>19.230460528495442</c:v>
                </c:pt>
                <c:pt idx="728">
                  <c:v>19.230460528495442</c:v>
                </c:pt>
                <c:pt idx="729">
                  <c:v>19.80474938269478</c:v>
                </c:pt>
                <c:pt idx="730">
                  <c:v>19.748526111393517</c:v>
                </c:pt>
                <c:pt idx="731">
                  <c:v>20.454744028367902</c:v>
                </c:pt>
                <c:pt idx="732">
                  <c:v>20.193143415398048</c:v>
                </c:pt>
                <c:pt idx="733">
                  <c:v>20.403313620841942</c:v>
                </c:pt>
                <c:pt idx="734">
                  <c:v>20.531934186426437</c:v>
                </c:pt>
                <c:pt idx="735">
                  <c:v>20.638194098284451</c:v>
                </c:pt>
                <c:pt idx="736">
                  <c:v>21.205462784246908</c:v>
                </c:pt>
                <c:pt idx="737">
                  <c:v>20.948624833118803</c:v>
                </c:pt>
                <c:pt idx="738">
                  <c:v>20.849261266518194</c:v>
                </c:pt>
                <c:pt idx="739">
                  <c:v>19.575745973909267</c:v>
                </c:pt>
                <c:pt idx="740">
                  <c:v>19.575745973909267</c:v>
                </c:pt>
                <c:pt idx="741">
                  <c:v>19.575745973909267</c:v>
                </c:pt>
                <c:pt idx="742">
                  <c:v>19.575745973909267</c:v>
                </c:pt>
                <c:pt idx="743">
                  <c:v>19.575745973909267</c:v>
                </c:pt>
                <c:pt idx="744">
                  <c:v>19.575745973909267</c:v>
                </c:pt>
                <c:pt idx="745">
                  <c:v>20.751926614806631</c:v>
                </c:pt>
                <c:pt idx="746">
                  <c:v>22.535051823842338</c:v>
                </c:pt>
                <c:pt idx="747">
                  <c:v>22.688156812729659</c:v>
                </c:pt>
                <c:pt idx="748">
                  <c:v>22.983902980683215</c:v>
                </c:pt>
                <c:pt idx="749">
                  <c:v>22.636906388960202</c:v>
                </c:pt>
                <c:pt idx="750">
                  <c:v>22.837477275676761</c:v>
                </c:pt>
                <c:pt idx="751">
                  <c:v>22.835015378592743</c:v>
                </c:pt>
                <c:pt idx="752">
                  <c:v>23.735734193004422</c:v>
                </c:pt>
                <c:pt idx="753">
                  <c:v>25.930926404963614</c:v>
                </c:pt>
                <c:pt idx="754">
                  <c:v>25.183314084640745</c:v>
                </c:pt>
                <c:pt idx="755">
                  <c:v>24.475930767295488</c:v>
                </c:pt>
                <c:pt idx="756">
                  <c:v>25.132893310076973</c:v>
                </c:pt>
                <c:pt idx="757">
                  <c:v>25.216435455407186</c:v>
                </c:pt>
                <c:pt idx="758">
                  <c:v>25.297419512351919</c:v>
                </c:pt>
                <c:pt idx="759">
                  <c:v>25.180512510676724</c:v>
                </c:pt>
                <c:pt idx="760">
                  <c:v>23.949140606896194</c:v>
                </c:pt>
                <c:pt idx="761">
                  <c:v>23.949140606896194</c:v>
                </c:pt>
                <c:pt idx="762">
                  <c:v>23.949140606896194</c:v>
                </c:pt>
                <c:pt idx="763">
                  <c:v>23.949140606896194</c:v>
                </c:pt>
                <c:pt idx="764">
                  <c:v>23.949140606896194</c:v>
                </c:pt>
                <c:pt idx="765">
                  <c:v>23.949140606896194</c:v>
                </c:pt>
                <c:pt idx="766">
                  <c:v>23.949140606896194</c:v>
                </c:pt>
                <c:pt idx="767">
                  <c:v>23.949140606896194</c:v>
                </c:pt>
                <c:pt idx="768">
                  <c:v>23.949140606896194</c:v>
                </c:pt>
                <c:pt idx="769">
                  <c:v>23.949140606896194</c:v>
                </c:pt>
                <c:pt idx="770">
                  <c:v>23.949140606896194</c:v>
                </c:pt>
                <c:pt idx="771">
                  <c:v>23.949140606896194</c:v>
                </c:pt>
                <c:pt idx="772">
                  <c:v>23.949140606896194</c:v>
                </c:pt>
                <c:pt idx="773">
                  <c:v>23.949140606896194</c:v>
                </c:pt>
                <c:pt idx="774">
                  <c:v>23.949140606896194</c:v>
                </c:pt>
                <c:pt idx="775">
                  <c:v>23.949140606896194</c:v>
                </c:pt>
                <c:pt idx="776">
                  <c:v>24.048641918669972</c:v>
                </c:pt>
                <c:pt idx="777">
                  <c:v>24.982155854347255</c:v>
                </c:pt>
                <c:pt idx="778">
                  <c:v>24.38662719197594</c:v>
                </c:pt>
                <c:pt idx="779">
                  <c:v>24.699102248907565</c:v>
                </c:pt>
                <c:pt idx="780">
                  <c:v>23.94917767792986</c:v>
                </c:pt>
                <c:pt idx="781">
                  <c:v>23.94917767792986</c:v>
                </c:pt>
                <c:pt idx="782">
                  <c:v>23.535616260109542</c:v>
                </c:pt>
                <c:pt idx="783">
                  <c:v>23.535616260109542</c:v>
                </c:pt>
                <c:pt idx="784">
                  <c:v>24.202189138446737</c:v>
                </c:pt>
                <c:pt idx="785">
                  <c:v>24.357883541163922</c:v>
                </c:pt>
                <c:pt idx="786">
                  <c:v>24.156448907363664</c:v>
                </c:pt>
                <c:pt idx="787">
                  <c:v>24.795291000665515</c:v>
                </c:pt>
                <c:pt idx="788">
                  <c:v>25.557519171639324</c:v>
                </c:pt>
                <c:pt idx="789">
                  <c:v>25.380612976012017</c:v>
                </c:pt>
                <c:pt idx="790">
                  <c:v>25.132358348517158</c:v>
                </c:pt>
                <c:pt idx="791">
                  <c:v>25.346109963931188</c:v>
                </c:pt>
                <c:pt idx="792">
                  <c:v>25.906761056687191</c:v>
                </c:pt>
                <c:pt idx="793">
                  <c:v>26.192976031994402</c:v>
                </c:pt>
                <c:pt idx="794">
                  <c:v>26.147380002879274</c:v>
                </c:pt>
                <c:pt idx="795">
                  <c:v>26.51329658249422</c:v>
                </c:pt>
                <c:pt idx="796">
                  <c:v>24.464633611986766</c:v>
                </c:pt>
                <c:pt idx="797">
                  <c:v>24.464633611986766</c:v>
                </c:pt>
                <c:pt idx="798">
                  <c:v>24.464633611986766</c:v>
                </c:pt>
                <c:pt idx="799">
                  <c:v>24.464633611986766</c:v>
                </c:pt>
                <c:pt idx="800">
                  <c:v>24.464633611986766</c:v>
                </c:pt>
                <c:pt idx="801">
                  <c:v>24.464633611986766</c:v>
                </c:pt>
                <c:pt idx="802">
                  <c:v>24.464633611986766</c:v>
                </c:pt>
                <c:pt idx="803">
                  <c:v>24.464633611986766</c:v>
                </c:pt>
                <c:pt idx="804">
                  <c:v>25.102113987226158</c:v>
                </c:pt>
                <c:pt idx="805">
                  <c:v>25.084396219726518</c:v>
                </c:pt>
                <c:pt idx="806">
                  <c:v>25.201832604129972</c:v>
                </c:pt>
                <c:pt idx="807">
                  <c:v>25.101613729015103</c:v>
                </c:pt>
                <c:pt idx="808">
                  <c:v>24.192711693030898</c:v>
                </c:pt>
                <c:pt idx="809">
                  <c:v>24.192711693030898</c:v>
                </c:pt>
                <c:pt idx="810">
                  <c:v>24.192711693030898</c:v>
                </c:pt>
                <c:pt idx="811">
                  <c:v>24.192711693030898</c:v>
                </c:pt>
                <c:pt idx="812">
                  <c:v>24.991557898467065</c:v>
                </c:pt>
                <c:pt idx="813">
                  <c:v>24.94342897846871</c:v>
                </c:pt>
                <c:pt idx="814">
                  <c:v>24.901311873202019</c:v>
                </c:pt>
                <c:pt idx="815">
                  <c:v>24.473762983456137</c:v>
                </c:pt>
                <c:pt idx="816">
                  <c:v>24.473762983456137</c:v>
                </c:pt>
                <c:pt idx="817">
                  <c:v>24.473762983456137</c:v>
                </c:pt>
                <c:pt idx="818">
                  <c:v>24.473762983456137</c:v>
                </c:pt>
                <c:pt idx="819">
                  <c:v>24.354193280838754</c:v>
                </c:pt>
                <c:pt idx="820">
                  <c:v>24.199618573674517</c:v>
                </c:pt>
                <c:pt idx="821">
                  <c:v>24.286125213108125</c:v>
                </c:pt>
                <c:pt idx="822">
                  <c:v>24.154386624401472</c:v>
                </c:pt>
                <c:pt idx="823">
                  <c:v>24.154386624401472</c:v>
                </c:pt>
                <c:pt idx="824">
                  <c:v>24.154386624401472</c:v>
                </c:pt>
                <c:pt idx="825">
                  <c:v>24.154386624401472</c:v>
                </c:pt>
                <c:pt idx="826">
                  <c:v>24.322560936323534</c:v>
                </c:pt>
                <c:pt idx="827">
                  <c:v>24.197064145359757</c:v>
                </c:pt>
                <c:pt idx="828">
                  <c:v>24.250833367924635</c:v>
                </c:pt>
                <c:pt idx="829">
                  <c:v>24.431824564154933</c:v>
                </c:pt>
                <c:pt idx="830">
                  <c:v>24.396603688978008</c:v>
                </c:pt>
                <c:pt idx="831">
                  <c:v>24.186852958011677</c:v>
                </c:pt>
                <c:pt idx="832">
                  <c:v>24.186852958011677</c:v>
                </c:pt>
                <c:pt idx="833">
                  <c:v>24.186852958011677</c:v>
                </c:pt>
                <c:pt idx="834">
                  <c:v>24.186852958011677</c:v>
                </c:pt>
                <c:pt idx="835">
                  <c:v>24.186852958011677</c:v>
                </c:pt>
                <c:pt idx="836">
                  <c:v>24.186852958011677</c:v>
                </c:pt>
                <c:pt idx="837">
                  <c:v>24.185275676043165</c:v>
                </c:pt>
                <c:pt idx="838">
                  <c:v>23.995787098244044</c:v>
                </c:pt>
                <c:pt idx="839">
                  <c:v>23.747484370934554</c:v>
                </c:pt>
                <c:pt idx="840">
                  <c:v>23.747484370934554</c:v>
                </c:pt>
                <c:pt idx="841">
                  <c:v>23.747484370934554</c:v>
                </c:pt>
                <c:pt idx="842">
                  <c:v>23.747484370934554</c:v>
                </c:pt>
                <c:pt idx="843">
                  <c:v>23.747484370934554</c:v>
                </c:pt>
                <c:pt idx="844">
                  <c:v>23.705679573042911</c:v>
                </c:pt>
                <c:pt idx="845">
                  <c:v>23.705679573042911</c:v>
                </c:pt>
                <c:pt idx="846">
                  <c:v>23.634335232022323</c:v>
                </c:pt>
                <c:pt idx="847">
                  <c:v>23.634335232022323</c:v>
                </c:pt>
                <c:pt idx="848">
                  <c:v>23.634335232022323</c:v>
                </c:pt>
                <c:pt idx="849">
                  <c:v>23.634335232022323</c:v>
                </c:pt>
                <c:pt idx="850">
                  <c:v>23.074081946043187</c:v>
                </c:pt>
                <c:pt idx="851">
                  <c:v>23.074081946043187</c:v>
                </c:pt>
                <c:pt idx="852">
                  <c:v>23.074081946043187</c:v>
                </c:pt>
                <c:pt idx="853">
                  <c:v>23.074081946043187</c:v>
                </c:pt>
                <c:pt idx="854">
                  <c:v>23.112649178119796</c:v>
                </c:pt>
                <c:pt idx="855">
                  <c:v>23.014314396048331</c:v>
                </c:pt>
                <c:pt idx="856">
                  <c:v>23.068112788243088</c:v>
                </c:pt>
                <c:pt idx="857">
                  <c:v>23.225600365455765</c:v>
                </c:pt>
                <c:pt idx="858">
                  <c:v>23.375198551931394</c:v>
                </c:pt>
                <c:pt idx="859">
                  <c:v>23.62530437232456</c:v>
                </c:pt>
                <c:pt idx="860">
                  <c:v>23.348825785421102</c:v>
                </c:pt>
                <c:pt idx="861">
                  <c:v>23.102447375573643</c:v>
                </c:pt>
                <c:pt idx="862">
                  <c:v>23.102447375573643</c:v>
                </c:pt>
                <c:pt idx="863">
                  <c:v>23.102447375573643</c:v>
                </c:pt>
                <c:pt idx="864">
                  <c:v>23.102447375573643</c:v>
                </c:pt>
                <c:pt idx="865">
                  <c:v>23.102447375573643</c:v>
                </c:pt>
                <c:pt idx="866">
                  <c:v>23.102447375573643</c:v>
                </c:pt>
                <c:pt idx="867">
                  <c:v>23.102447375573643</c:v>
                </c:pt>
                <c:pt idx="868">
                  <c:v>23.102447375573643</c:v>
                </c:pt>
                <c:pt idx="869">
                  <c:v>23.102447375573643</c:v>
                </c:pt>
                <c:pt idx="870">
                  <c:v>23.102447375573643</c:v>
                </c:pt>
                <c:pt idx="871">
                  <c:v>23.102447375573643</c:v>
                </c:pt>
                <c:pt idx="872">
                  <c:v>23.102447375573643</c:v>
                </c:pt>
                <c:pt idx="873">
                  <c:v>23.102447375573643</c:v>
                </c:pt>
                <c:pt idx="874">
                  <c:v>23.102447375573643</c:v>
                </c:pt>
                <c:pt idx="875">
                  <c:v>23.102447375573643</c:v>
                </c:pt>
                <c:pt idx="876">
                  <c:v>23.102447375573643</c:v>
                </c:pt>
                <c:pt idx="877">
                  <c:v>23.102447375573643</c:v>
                </c:pt>
                <c:pt idx="878">
                  <c:v>23.102447375573643</c:v>
                </c:pt>
                <c:pt idx="879">
                  <c:v>23.102447375573643</c:v>
                </c:pt>
                <c:pt idx="880">
                  <c:v>23.102447375573643</c:v>
                </c:pt>
                <c:pt idx="881">
                  <c:v>23.218717454211223</c:v>
                </c:pt>
                <c:pt idx="882">
                  <c:v>21.799290905238138</c:v>
                </c:pt>
                <c:pt idx="883">
                  <c:v>21.799290905238138</c:v>
                </c:pt>
                <c:pt idx="884">
                  <c:v>21.412438734212277</c:v>
                </c:pt>
                <c:pt idx="885">
                  <c:v>21.412438734212277</c:v>
                </c:pt>
                <c:pt idx="886">
                  <c:v>21.412438734212277</c:v>
                </c:pt>
                <c:pt idx="887">
                  <c:v>21.412438734212277</c:v>
                </c:pt>
                <c:pt idx="888">
                  <c:v>21.412438734212277</c:v>
                </c:pt>
                <c:pt idx="889">
                  <c:v>21.412438734212277</c:v>
                </c:pt>
                <c:pt idx="890">
                  <c:v>21.412438734212277</c:v>
                </c:pt>
                <c:pt idx="891">
                  <c:v>21.412438734212277</c:v>
                </c:pt>
                <c:pt idx="892">
                  <c:v>20.751395552618437</c:v>
                </c:pt>
                <c:pt idx="893">
                  <c:v>20.751395552618437</c:v>
                </c:pt>
                <c:pt idx="894">
                  <c:v>20.751395552618437</c:v>
                </c:pt>
                <c:pt idx="895">
                  <c:v>20.751395552618437</c:v>
                </c:pt>
                <c:pt idx="896">
                  <c:v>20.751395552618437</c:v>
                </c:pt>
                <c:pt idx="897">
                  <c:v>20.751395552618437</c:v>
                </c:pt>
                <c:pt idx="898">
                  <c:v>20.751395552618437</c:v>
                </c:pt>
                <c:pt idx="899">
                  <c:v>20.751395552618437</c:v>
                </c:pt>
                <c:pt idx="900">
                  <c:v>21.630374955206989</c:v>
                </c:pt>
                <c:pt idx="901">
                  <c:v>21.922354610952098</c:v>
                </c:pt>
                <c:pt idx="902">
                  <c:v>24.195911336385169</c:v>
                </c:pt>
                <c:pt idx="903">
                  <c:v>22.803667206632586</c:v>
                </c:pt>
                <c:pt idx="904">
                  <c:v>23.492123155509674</c:v>
                </c:pt>
                <c:pt idx="905">
                  <c:v>23.40315449135128</c:v>
                </c:pt>
                <c:pt idx="906">
                  <c:v>23.869106613812409</c:v>
                </c:pt>
                <c:pt idx="907">
                  <c:v>22.329322433867898</c:v>
                </c:pt>
                <c:pt idx="908">
                  <c:v>22.329322433867898</c:v>
                </c:pt>
                <c:pt idx="909">
                  <c:v>22.329322433867898</c:v>
                </c:pt>
                <c:pt idx="910">
                  <c:v>22.329322433867898</c:v>
                </c:pt>
                <c:pt idx="911">
                  <c:v>21.740291782485169</c:v>
                </c:pt>
                <c:pt idx="912">
                  <c:v>21.999462660537638</c:v>
                </c:pt>
                <c:pt idx="913">
                  <c:v>21.298087764792843</c:v>
                </c:pt>
                <c:pt idx="914">
                  <c:v>21.298087764792843</c:v>
                </c:pt>
                <c:pt idx="915">
                  <c:v>21.851604666511712</c:v>
                </c:pt>
                <c:pt idx="916">
                  <c:v>21.260524367627873</c:v>
                </c:pt>
                <c:pt idx="917">
                  <c:v>21.260524367627873</c:v>
                </c:pt>
                <c:pt idx="918">
                  <c:v>21.191508308165872</c:v>
                </c:pt>
                <c:pt idx="919">
                  <c:v>21.191508308165872</c:v>
                </c:pt>
                <c:pt idx="920">
                  <c:v>20.924398060972607</c:v>
                </c:pt>
                <c:pt idx="921">
                  <c:v>20.953506438700206</c:v>
                </c:pt>
                <c:pt idx="922">
                  <c:v>20.976630953271187</c:v>
                </c:pt>
                <c:pt idx="923">
                  <c:v>19.124107728402706</c:v>
                </c:pt>
                <c:pt idx="924">
                  <c:v>19.124107728402706</c:v>
                </c:pt>
                <c:pt idx="925">
                  <c:v>19.124107728402706</c:v>
                </c:pt>
                <c:pt idx="926">
                  <c:v>19.124107728402706</c:v>
                </c:pt>
                <c:pt idx="927">
                  <c:v>19.124107728402706</c:v>
                </c:pt>
                <c:pt idx="928">
                  <c:v>18.735144790557833</c:v>
                </c:pt>
                <c:pt idx="929">
                  <c:v>18.735144790557833</c:v>
                </c:pt>
                <c:pt idx="930">
                  <c:v>18.855895925225436</c:v>
                </c:pt>
                <c:pt idx="931">
                  <c:v>18.749663957270279</c:v>
                </c:pt>
                <c:pt idx="932">
                  <c:v>18.749663957270279</c:v>
                </c:pt>
                <c:pt idx="933">
                  <c:v>18.108236125686627</c:v>
                </c:pt>
                <c:pt idx="934">
                  <c:v>18.108236125686627</c:v>
                </c:pt>
                <c:pt idx="935">
                  <c:v>18.108236125686627</c:v>
                </c:pt>
                <c:pt idx="936">
                  <c:v>18.108236125686627</c:v>
                </c:pt>
                <c:pt idx="937">
                  <c:v>18.108236125686627</c:v>
                </c:pt>
                <c:pt idx="938">
                  <c:v>18.102706344681952</c:v>
                </c:pt>
                <c:pt idx="939">
                  <c:v>18.116257001096116</c:v>
                </c:pt>
                <c:pt idx="940">
                  <c:v>18.023250164005944</c:v>
                </c:pt>
                <c:pt idx="941">
                  <c:v>18.023250164005944</c:v>
                </c:pt>
                <c:pt idx="942">
                  <c:v>18.023250164005944</c:v>
                </c:pt>
                <c:pt idx="943">
                  <c:v>18.023250164005944</c:v>
                </c:pt>
                <c:pt idx="944">
                  <c:v>18.023250164005944</c:v>
                </c:pt>
                <c:pt idx="945">
                  <c:v>18.023250164005944</c:v>
                </c:pt>
                <c:pt idx="946">
                  <c:v>18.194367681838031</c:v>
                </c:pt>
                <c:pt idx="947">
                  <c:v>17.899587000869868</c:v>
                </c:pt>
                <c:pt idx="948">
                  <c:v>17.899587000869868</c:v>
                </c:pt>
                <c:pt idx="949">
                  <c:v>17.899587000869868</c:v>
                </c:pt>
                <c:pt idx="950">
                  <c:v>17.899587000869868</c:v>
                </c:pt>
                <c:pt idx="951">
                  <c:v>17.899587000869868</c:v>
                </c:pt>
                <c:pt idx="952">
                  <c:v>17.899587000869868</c:v>
                </c:pt>
                <c:pt idx="953">
                  <c:v>17.921179775257642</c:v>
                </c:pt>
                <c:pt idx="954">
                  <c:v>18.013854223729801</c:v>
                </c:pt>
                <c:pt idx="955">
                  <c:v>17.810012388192376</c:v>
                </c:pt>
                <c:pt idx="956">
                  <c:v>17.834898063847298</c:v>
                </c:pt>
                <c:pt idx="957">
                  <c:v>17.834898063847298</c:v>
                </c:pt>
                <c:pt idx="958">
                  <c:v>17.834898063847298</c:v>
                </c:pt>
                <c:pt idx="959">
                  <c:v>17.834898063847298</c:v>
                </c:pt>
                <c:pt idx="960">
                  <c:v>17.834898063847298</c:v>
                </c:pt>
                <c:pt idx="961">
                  <c:v>17.834898063847298</c:v>
                </c:pt>
                <c:pt idx="962">
                  <c:v>19.009112793524274</c:v>
                </c:pt>
                <c:pt idx="963">
                  <c:v>19.161449843558689</c:v>
                </c:pt>
                <c:pt idx="964">
                  <c:v>19.4174123106766</c:v>
                </c:pt>
                <c:pt idx="965">
                  <c:v>19.195546805507245</c:v>
                </c:pt>
                <c:pt idx="966">
                  <c:v>19.445112754135515</c:v>
                </c:pt>
                <c:pt idx="967">
                  <c:v>20.110190146108952</c:v>
                </c:pt>
                <c:pt idx="968">
                  <c:v>18.497990247032611</c:v>
                </c:pt>
                <c:pt idx="969">
                  <c:v>18.497990247032611</c:v>
                </c:pt>
                <c:pt idx="970">
                  <c:v>18.497990247032611</c:v>
                </c:pt>
                <c:pt idx="971">
                  <c:v>18.497990247032611</c:v>
                </c:pt>
                <c:pt idx="972">
                  <c:v>18.497990247032611</c:v>
                </c:pt>
                <c:pt idx="973">
                  <c:v>18.521016080460832</c:v>
                </c:pt>
                <c:pt idx="974">
                  <c:v>18.521016080460832</c:v>
                </c:pt>
                <c:pt idx="975">
                  <c:v>18.438393336420422</c:v>
                </c:pt>
                <c:pt idx="976">
                  <c:v>18.438393336420422</c:v>
                </c:pt>
                <c:pt idx="977">
                  <c:v>18.438393336420422</c:v>
                </c:pt>
                <c:pt idx="978">
                  <c:v>18.474204797906882</c:v>
                </c:pt>
                <c:pt idx="979">
                  <c:v>18.509893795004999</c:v>
                </c:pt>
                <c:pt idx="980">
                  <c:v>18.460902441482659</c:v>
                </c:pt>
                <c:pt idx="981">
                  <c:v>18.755160194650163</c:v>
                </c:pt>
                <c:pt idx="982">
                  <c:v>18.699727930754488</c:v>
                </c:pt>
                <c:pt idx="983">
                  <c:v>18.48028409312121</c:v>
                </c:pt>
                <c:pt idx="984">
                  <c:v>18.48028409312121</c:v>
                </c:pt>
                <c:pt idx="985">
                  <c:v>18.48028409312121</c:v>
                </c:pt>
                <c:pt idx="986">
                  <c:v>18.48028409312121</c:v>
                </c:pt>
                <c:pt idx="987">
                  <c:v>18.652364335632871</c:v>
                </c:pt>
                <c:pt idx="988">
                  <c:v>19.065893361523088</c:v>
                </c:pt>
                <c:pt idx="989">
                  <c:v>18.955244234449381</c:v>
                </c:pt>
                <c:pt idx="990">
                  <c:v>18.989518640471843</c:v>
                </c:pt>
                <c:pt idx="991">
                  <c:v>19.171680474287719</c:v>
                </c:pt>
                <c:pt idx="992">
                  <c:v>19.248373653579556</c:v>
                </c:pt>
                <c:pt idx="993">
                  <c:v>18.974541694363129</c:v>
                </c:pt>
                <c:pt idx="994">
                  <c:v>18.974541694363129</c:v>
                </c:pt>
                <c:pt idx="995">
                  <c:v>18.974541694363129</c:v>
                </c:pt>
                <c:pt idx="996">
                  <c:v>18.974541694363129</c:v>
                </c:pt>
                <c:pt idx="997">
                  <c:v>18.974541694363129</c:v>
                </c:pt>
                <c:pt idx="998">
                  <c:v>18.974541694363129</c:v>
                </c:pt>
                <c:pt idx="999">
                  <c:v>18.974541694363129</c:v>
                </c:pt>
                <c:pt idx="1000">
                  <c:v>18.891165630167084</c:v>
                </c:pt>
                <c:pt idx="1001">
                  <c:v>19.027041641773931</c:v>
                </c:pt>
                <c:pt idx="1002">
                  <c:v>19.065508427314224</c:v>
                </c:pt>
                <c:pt idx="1003">
                  <c:v>19.059677998343123</c:v>
                </c:pt>
                <c:pt idx="1004">
                  <c:v>19.304707966853524</c:v>
                </c:pt>
                <c:pt idx="1005">
                  <c:v>22.655235706014846</c:v>
                </c:pt>
                <c:pt idx="1006">
                  <c:v>23.087664606705847</c:v>
                </c:pt>
                <c:pt idx="1007">
                  <c:v>22.854499514424049</c:v>
                </c:pt>
                <c:pt idx="1008">
                  <c:v>23.383207594826533</c:v>
                </c:pt>
                <c:pt idx="1009">
                  <c:v>23.490619455158416</c:v>
                </c:pt>
                <c:pt idx="1010">
                  <c:v>24.136307920842214</c:v>
                </c:pt>
                <c:pt idx="1011">
                  <c:v>24.558198066487481</c:v>
                </c:pt>
                <c:pt idx="1012">
                  <c:v>24.164449041229304</c:v>
                </c:pt>
                <c:pt idx="1013">
                  <c:v>24.719670622245609</c:v>
                </c:pt>
                <c:pt idx="1014">
                  <c:v>23.512302218725772</c:v>
                </c:pt>
                <c:pt idx="1015">
                  <c:v>23.512302218725772</c:v>
                </c:pt>
                <c:pt idx="1016">
                  <c:v>23.512302218725772</c:v>
                </c:pt>
                <c:pt idx="1017">
                  <c:v>23.512302218725772</c:v>
                </c:pt>
                <c:pt idx="1018">
                  <c:v>23.054525796019806</c:v>
                </c:pt>
                <c:pt idx="1019">
                  <c:v>23.054525796019806</c:v>
                </c:pt>
                <c:pt idx="1020">
                  <c:v>23.126647343913678</c:v>
                </c:pt>
                <c:pt idx="1021">
                  <c:v>23.33117771520314</c:v>
                </c:pt>
                <c:pt idx="1022">
                  <c:v>23.355074173762535</c:v>
                </c:pt>
                <c:pt idx="1023">
                  <c:v>23.505116146688</c:v>
                </c:pt>
                <c:pt idx="1024">
                  <c:v>23.40227365551269</c:v>
                </c:pt>
                <c:pt idx="1025">
                  <c:v>23.775835878682493</c:v>
                </c:pt>
                <c:pt idx="1026">
                  <c:v>24.537619864268084</c:v>
                </c:pt>
                <c:pt idx="1027">
                  <c:v>24.064268317341504</c:v>
                </c:pt>
                <c:pt idx="1028">
                  <c:v>22.944246031590232</c:v>
                </c:pt>
                <c:pt idx="1029">
                  <c:v>22.944246031590232</c:v>
                </c:pt>
                <c:pt idx="1030">
                  <c:v>22.944246031590232</c:v>
                </c:pt>
                <c:pt idx="1031">
                  <c:v>22.944246031590232</c:v>
                </c:pt>
                <c:pt idx="1032">
                  <c:v>22.944246031590232</c:v>
                </c:pt>
                <c:pt idx="1033">
                  <c:v>22.944246031590232</c:v>
                </c:pt>
                <c:pt idx="1034">
                  <c:v>23.167099616430896</c:v>
                </c:pt>
                <c:pt idx="1035">
                  <c:v>23.606996543883223</c:v>
                </c:pt>
                <c:pt idx="1036">
                  <c:v>24.734781918175759</c:v>
                </c:pt>
                <c:pt idx="1037">
                  <c:v>25.004406361874484</c:v>
                </c:pt>
                <c:pt idx="1038">
                  <c:v>24.852356048081198</c:v>
                </c:pt>
                <c:pt idx="1039">
                  <c:v>24.642663965610062</c:v>
                </c:pt>
                <c:pt idx="1040">
                  <c:v>24.997262386640045</c:v>
                </c:pt>
                <c:pt idx="1041">
                  <c:v>25.653147399006251</c:v>
                </c:pt>
                <c:pt idx="1042">
                  <c:v>26.476760951022602</c:v>
                </c:pt>
                <c:pt idx="1043">
                  <c:v>27.352899070319594</c:v>
                </c:pt>
                <c:pt idx="1044">
                  <c:v>30.894505182413567</c:v>
                </c:pt>
                <c:pt idx="1045">
                  <c:v>29.897960046641234</c:v>
                </c:pt>
                <c:pt idx="1046">
                  <c:v>33.51083843653899</c:v>
                </c:pt>
                <c:pt idx="1047">
                  <c:v>34.280549714195772</c:v>
                </c:pt>
                <c:pt idx="1048">
                  <c:v>35.18426710740134</c:v>
                </c:pt>
                <c:pt idx="1049">
                  <c:v>33.810977636882164</c:v>
                </c:pt>
                <c:pt idx="1050">
                  <c:v>31.491077591408274</c:v>
                </c:pt>
                <c:pt idx="1051">
                  <c:v>31.491077591408274</c:v>
                </c:pt>
                <c:pt idx="1052">
                  <c:v>31.491077591408274</c:v>
                </c:pt>
                <c:pt idx="1053">
                  <c:v>30.648337167438598</c:v>
                </c:pt>
                <c:pt idx="1054">
                  <c:v>30.590786579601467</c:v>
                </c:pt>
                <c:pt idx="1055">
                  <c:v>29.502650531608769</c:v>
                </c:pt>
                <c:pt idx="1056">
                  <c:v>29.502650531608769</c:v>
                </c:pt>
                <c:pt idx="1057">
                  <c:v>29.502650531608769</c:v>
                </c:pt>
                <c:pt idx="1058">
                  <c:v>29.743375209328931</c:v>
                </c:pt>
                <c:pt idx="1059">
                  <c:v>32.035927300456038</c:v>
                </c:pt>
                <c:pt idx="1060">
                  <c:v>32.525568363344604</c:v>
                </c:pt>
                <c:pt idx="1061">
                  <c:v>32.208591569401243</c:v>
                </c:pt>
                <c:pt idx="1062">
                  <c:v>31.985218806904083</c:v>
                </c:pt>
                <c:pt idx="1063">
                  <c:v>30.729319633804284</c:v>
                </c:pt>
                <c:pt idx="1064">
                  <c:v>30.729319633804284</c:v>
                </c:pt>
                <c:pt idx="1065">
                  <c:v>30.729319633804284</c:v>
                </c:pt>
                <c:pt idx="1066">
                  <c:v>30.729319633804284</c:v>
                </c:pt>
                <c:pt idx="1067">
                  <c:v>28.852573075589639</c:v>
                </c:pt>
                <c:pt idx="1068">
                  <c:v>28.852573075589639</c:v>
                </c:pt>
                <c:pt idx="1069">
                  <c:v>28.852573075589639</c:v>
                </c:pt>
                <c:pt idx="1070">
                  <c:v>28.852573075589639</c:v>
                </c:pt>
                <c:pt idx="1071">
                  <c:v>28.852573075589639</c:v>
                </c:pt>
                <c:pt idx="1072">
                  <c:v>28.530389163942768</c:v>
                </c:pt>
                <c:pt idx="1073">
                  <c:v>27.576100722188816</c:v>
                </c:pt>
                <c:pt idx="1074">
                  <c:v>27.576100722188816</c:v>
                </c:pt>
                <c:pt idx="1075">
                  <c:v>27.325805404752348</c:v>
                </c:pt>
                <c:pt idx="1076">
                  <c:v>28.077716325392203</c:v>
                </c:pt>
                <c:pt idx="1077">
                  <c:v>28.370929217878874</c:v>
                </c:pt>
                <c:pt idx="1078">
                  <c:v>29.966517253259529</c:v>
                </c:pt>
                <c:pt idx="1079">
                  <c:v>30.464734793566869</c:v>
                </c:pt>
                <c:pt idx="1080">
                  <c:v>31.002837069541648</c:v>
                </c:pt>
                <c:pt idx="1081">
                  <c:v>32.126048994660515</c:v>
                </c:pt>
                <c:pt idx="1082">
                  <c:v>31.303660679851685</c:v>
                </c:pt>
                <c:pt idx="1083">
                  <c:v>31.964628408786087</c:v>
                </c:pt>
                <c:pt idx="1084">
                  <c:v>32.838888086144479</c:v>
                </c:pt>
                <c:pt idx="1085">
                  <c:v>34.966973868656012</c:v>
                </c:pt>
                <c:pt idx="1086">
                  <c:v>36.887345301187587</c:v>
                </c:pt>
                <c:pt idx="1087">
                  <c:v>37.417059297038421</c:v>
                </c:pt>
                <c:pt idx="1088">
                  <c:v>37.953845433737065</c:v>
                </c:pt>
                <c:pt idx="1089">
                  <c:v>40.641764932381946</c:v>
                </c:pt>
                <c:pt idx="1090">
                  <c:v>44.865265275982374</c:v>
                </c:pt>
                <c:pt idx="1091">
                  <c:v>38.545687251989577</c:v>
                </c:pt>
                <c:pt idx="1092">
                  <c:v>38.545687251989577</c:v>
                </c:pt>
                <c:pt idx="1093">
                  <c:v>37.154013188978425</c:v>
                </c:pt>
                <c:pt idx="1094">
                  <c:v>37.154013188978425</c:v>
                </c:pt>
                <c:pt idx="1095">
                  <c:v>37.154013188978425</c:v>
                </c:pt>
                <c:pt idx="1096">
                  <c:v>37.154013188978425</c:v>
                </c:pt>
                <c:pt idx="1097">
                  <c:v>37.154013188978425</c:v>
                </c:pt>
                <c:pt idx="1098">
                  <c:v>34.8373148615376</c:v>
                </c:pt>
                <c:pt idx="1099">
                  <c:v>34.101216859007131</c:v>
                </c:pt>
                <c:pt idx="1100">
                  <c:v>34.101216859007131</c:v>
                </c:pt>
                <c:pt idx="1101">
                  <c:v>34.101216859007131</c:v>
                </c:pt>
                <c:pt idx="1102">
                  <c:v>36.588221819721653</c:v>
                </c:pt>
                <c:pt idx="1103">
                  <c:v>37.445467465379998</c:v>
                </c:pt>
                <c:pt idx="1104">
                  <c:v>36.202726946429451</c:v>
                </c:pt>
                <c:pt idx="1105">
                  <c:v>33.826686412955823</c:v>
                </c:pt>
                <c:pt idx="1106">
                  <c:v>33.826686412955823</c:v>
                </c:pt>
                <c:pt idx="1107">
                  <c:v>33.826686412955823</c:v>
                </c:pt>
                <c:pt idx="1108">
                  <c:v>33.826686412955823</c:v>
                </c:pt>
                <c:pt idx="1109">
                  <c:v>33.826686412955823</c:v>
                </c:pt>
                <c:pt idx="1110">
                  <c:v>33.826686412955823</c:v>
                </c:pt>
                <c:pt idx="1111">
                  <c:v>33.826686412955823</c:v>
                </c:pt>
                <c:pt idx="1112">
                  <c:v>33.826686412955823</c:v>
                </c:pt>
                <c:pt idx="1113">
                  <c:v>33.396181538069641</c:v>
                </c:pt>
                <c:pt idx="1114">
                  <c:v>34.145901341025954</c:v>
                </c:pt>
                <c:pt idx="1115">
                  <c:v>33.613013435265387</c:v>
                </c:pt>
                <c:pt idx="1116">
                  <c:v>32.801162033437727</c:v>
                </c:pt>
                <c:pt idx="1117">
                  <c:v>32.801162033437727</c:v>
                </c:pt>
                <c:pt idx="1118">
                  <c:v>32.801162033437727</c:v>
                </c:pt>
                <c:pt idx="1119">
                  <c:v>32.801162033437727</c:v>
                </c:pt>
                <c:pt idx="1120">
                  <c:v>32.801162033437727</c:v>
                </c:pt>
                <c:pt idx="1121">
                  <c:v>32.801162033437727</c:v>
                </c:pt>
                <c:pt idx="1122">
                  <c:v>32.801162033437727</c:v>
                </c:pt>
                <c:pt idx="1123">
                  <c:v>32.801162033437727</c:v>
                </c:pt>
                <c:pt idx="1124">
                  <c:v>32.801162033437727</c:v>
                </c:pt>
                <c:pt idx="1125">
                  <c:v>34.43382137225467</c:v>
                </c:pt>
                <c:pt idx="1126">
                  <c:v>35.50600371817545</c:v>
                </c:pt>
                <c:pt idx="1127">
                  <c:v>35.910600203701911</c:v>
                </c:pt>
                <c:pt idx="1128">
                  <c:v>36.946970679070603</c:v>
                </c:pt>
                <c:pt idx="1129">
                  <c:v>37.453828212364407</c:v>
                </c:pt>
                <c:pt idx="1130">
                  <c:v>40.306241755603345</c:v>
                </c:pt>
                <c:pt idx="1131">
                  <c:v>39.188161795761474</c:v>
                </c:pt>
                <c:pt idx="1132">
                  <c:v>40.77164274000215</c:v>
                </c:pt>
                <c:pt idx="1133">
                  <c:v>40.855079305129138</c:v>
                </c:pt>
                <c:pt idx="1134">
                  <c:v>40.501815059855971</c:v>
                </c:pt>
                <c:pt idx="1135">
                  <c:v>38.764314055743142</c:v>
                </c:pt>
                <c:pt idx="1136">
                  <c:v>38.764314055743142</c:v>
                </c:pt>
                <c:pt idx="1137">
                  <c:v>38.764314055743142</c:v>
                </c:pt>
                <c:pt idx="1138">
                  <c:v>38.764314055743142</c:v>
                </c:pt>
                <c:pt idx="1139">
                  <c:v>38.764314055743142</c:v>
                </c:pt>
                <c:pt idx="1140">
                  <c:v>38.764314055743142</c:v>
                </c:pt>
                <c:pt idx="1141">
                  <c:v>38.764314055743142</c:v>
                </c:pt>
                <c:pt idx="1142">
                  <c:v>38.764314055743142</c:v>
                </c:pt>
                <c:pt idx="1143">
                  <c:v>38.764314055743142</c:v>
                </c:pt>
                <c:pt idx="1144">
                  <c:v>40.900935927660811</c:v>
                </c:pt>
                <c:pt idx="1145">
                  <c:v>40.328335799880847</c:v>
                </c:pt>
                <c:pt idx="1146">
                  <c:v>37.985863434135979</c:v>
                </c:pt>
                <c:pt idx="1147">
                  <c:v>37.985863434135979</c:v>
                </c:pt>
                <c:pt idx="1148">
                  <c:v>37.985863434135979</c:v>
                </c:pt>
                <c:pt idx="1149">
                  <c:v>37.985863434135979</c:v>
                </c:pt>
                <c:pt idx="1150">
                  <c:v>37.985863434135979</c:v>
                </c:pt>
                <c:pt idx="1151">
                  <c:v>37.985863434135979</c:v>
                </c:pt>
                <c:pt idx="1152">
                  <c:v>37.307078932165084</c:v>
                </c:pt>
                <c:pt idx="1153">
                  <c:v>37.307078932165084</c:v>
                </c:pt>
                <c:pt idx="1154">
                  <c:v>37.307078932165084</c:v>
                </c:pt>
                <c:pt idx="1155">
                  <c:v>37.307078932165084</c:v>
                </c:pt>
                <c:pt idx="1156">
                  <c:v>37.307078932165084</c:v>
                </c:pt>
                <c:pt idx="1157">
                  <c:v>37.307078932165084</c:v>
                </c:pt>
                <c:pt idx="1158">
                  <c:v>39.55816546726733</c:v>
                </c:pt>
                <c:pt idx="1159">
                  <c:v>40.616359572809529</c:v>
                </c:pt>
                <c:pt idx="1160">
                  <c:v>40.505306353719149</c:v>
                </c:pt>
                <c:pt idx="1161">
                  <c:v>40.432817843238148</c:v>
                </c:pt>
                <c:pt idx="1162">
                  <c:v>39.583177082832279</c:v>
                </c:pt>
                <c:pt idx="1163">
                  <c:v>39.583177082832279</c:v>
                </c:pt>
                <c:pt idx="1164">
                  <c:v>39.583177082832279</c:v>
                </c:pt>
                <c:pt idx="1165">
                  <c:v>39.583177082832279</c:v>
                </c:pt>
                <c:pt idx="1166">
                  <c:v>39.583177082832279</c:v>
                </c:pt>
                <c:pt idx="1167">
                  <c:v>39.583177082832279</c:v>
                </c:pt>
                <c:pt idx="1168">
                  <c:v>39.583177082832279</c:v>
                </c:pt>
                <c:pt idx="1169">
                  <c:v>39.394655173722505</c:v>
                </c:pt>
                <c:pt idx="1170">
                  <c:v>39.385156669313417</c:v>
                </c:pt>
                <c:pt idx="1171">
                  <c:v>39.345855590043662</c:v>
                </c:pt>
                <c:pt idx="1172">
                  <c:v>39.076195362966722</c:v>
                </c:pt>
                <c:pt idx="1173">
                  <c:v>39.076195362966722</c:v>
                </c:pt>
                <c:pt idx="1174">
                  <c:v>39.076195362966722</c:v>
                </c:pt>
                <c:pt idx="1175">
                  <c:v>39.076195362966722</c:v>
                </c:pt>
                <c:pt idx="1176">
                  <c:v>38.753529332690505</c:v>
                </c:pt>
                <c:pt idx="1177">
                  <c:v>38.753529332690505</c:v>
                </c:pt>
                <c:pt idx="1178">
                  <c:v>38.753529332690505</c:v>
                </c:pt>
                <c:pt idx="1179">
                  <c:v>38.753529332690505</c:v>
                </c:pt>
                <c:pt idx="1180">
                  <c:v>38.753529332690505</c:v>
                </c:pt>
                <c:pt idx="1181">
                  <c:v>38.753529332690505</c:v>
                </c:pt>
                <c:pt idx="1182">
                  <c:v>38.753529332690505</c:v>
                </c:pt>
                <c:pt idx="1183">
                  <c:v>38.753529332690505</c:v>
                </c:pt>
                <c:pt idx="1184">
                  <c:v>38.753529332690505</c:v>
                </c:pt>
                <c:pt idx="1185">
                  <c:v>38.753529332690505</c:v>
                </c:pt>
                <c:pt idx="1186">
                  <c:v>38.753529332690505</c:v>
                </c:pt>
                <c:pt idx="1187">
                  <c:v>38.984391724806535</c:v>
                </c:pt>
                <c:pt idx="1188">
                  <c:v>39.2169241897628</c:v>
                </c:pt>
                <c:pt idx="1189">
                  <c:v>38.595242077138529</c:v>
                </c:pt>
                <c:pt idx="1190">
                  <c:v>38.595242077138529</c:v>
                </c:pt>
                <c:pt idx="1191">
                  <c:v>38.595242077138529</c:v>
                </c:pt>
                <c:pt idx="1192">
                  <c:v>38.595242077138529</c:v>
                </c:pt>
                <c:pt idx="1193">
                  <c:v>38.595242077138529</c:v>
                </c:pt>
                <c:pt idx="1194">
                  <c:v>38.516419912698495</c:v>
                </c:pt>
                <c:pt idx="1195">
                  <c:v>40.234033653058098</c:v>
                </c:pt>
                <c:pt idx="1196">
                  <c:v>40.190659525137292</c:v>
                </c:pt>
                <c:pt idx="1197">
                  <c:v>38.951601081176911</c:v>
                </c:pt>
                <c:pt idx="1198">
                  <c:v>38.951601081176911</c:v>
                </c:pt>
                <c:pt idx="1199">
                  <c:v>38.951601081176911</c:v>
                </c:pt>
                <c:pt idx="1200">
                  <c:v>38.951601081176911</c:v>
                </c:pt>
                <c:pt idx="1201">
                  <c:v>38.951601081176911</c:v>
                </c:pt>
                <c:pt idx="1202">
                  <c:v>38.951601081176911</c:v>
                </c:pt>
                <c:pt idx="1203">
                  <c:v>38.951601081176911</c:v>
                </c:pt>
                <c:pt idx="1204">
                  <c:v>38.951601081176911</c:v>
                </c:pt>
                <c:pt idx="1205">
                  <c:v>38.951601081176911</c:v>
                </c:pt>
                <c:pt idx="1206">
                  <c:v>38.951601081176911</c:v>
                </c:pt>
                <c:pt idx="1207">
                  <c:v>39.054131494024851</c:v>
                </c:pt>
                <c:pt idx="1208">
                  <c:v>38.270001913624078</c:v>
                </c:pt>
                <c:pt idx="1209">
                  <c:v>38.270001913624078</c:v>
                </c:pt>
                <c:pt idx="1210">
                  <c:v>38.270001913624078</c:v>
                </c:pt>
                <c:pt idx="1211">
                  <c:v>38.270001913624078</c:v>
                </c:pt>
                <c:pt idx="1212">
                  <c:v>40.851791803251807</c:v>
                </c:pt>
                <c:pt idx="1213">
                  <c:v>42.207227721530842</c:v>
                </c:pt>
                <c:pt idx="1214">
                  <c:v>40.901175477654157</c:v>
                </c:pt>
                <c:pt idx="1215">
                  <c:v>41.659174263340248</c:v>
                </c:pt>
                <c:pt idx="1216">
                  <c:v>40.678370714841499</c:v>
                </c:pt>
                <c:pt idx="1217">
                  <c:v>40.678370714841499</c:v>
                </c:pt>
                <c:pt idx="1218">
                  <c:v>40.678370714841499</c:v>
                </c:pt>
                <c:pt idx="1219">
                  <c:v>40.678370714841499</c:v>
                </c:pt>
                <c:pt idx="1220">
                  <c:v>40.288530211213796</c:v>
                </c:pt>
                <c:pt idx="1221">
                  <c:v>40.288530211213796</c:v>
                </c:pt>
                <c:pt idx="1222">
                  <c:v>39.988547594581391</c:v>
                </c:pt>
                <c:pt idx="1223">
                  <c:v>40.067101432559099</c:v>
                </c:pt>
                <c:pt idx="1224">
                  <c:v>39.667673575095577</c:v>
                </c:pt>
                <c:pt idx="1225">
                  <c:v>39.667673575095577</c:v>
                </c:pt>
                <c:pt idx="1226">
                  <c:v>39.667673575095577</c:v>
                </c:pt>
                <c:pt idx="1227">
                  <c:v>39.667673575095577</c:v>
                </c:pt>
                <c:pt idx="1228">
                  <c:v>39.667673575095577</c:v>
                </c:pt>
                <c:pt idx="1229">
                  <c:v>39.667673575095577</c:v>
                </c:pt>
                <c:pt idx="1230">
                  <c:v>39.667673575095577</c:v>
                </c:pt>
                <c:pt idx="1231">
                  <c:v>39.667673575095577</c:v>
                </c:pt>
                <c:pt idx="1232">
                  <c:v>39.667673575095577</c:v>
                </c:pt>
                <c:pt idx="1233">
                  <c:v>39.667673575095577</c:v>
                </c:pt>
                <c:pt idx="1234">
                  <c:v>39.667673575095577</c:v>
                </c:pt>
                <c:pt idx="1235">
                  <c:v>39.667673575095577</c:v>
                </c:pt>
                <c:pt idx="1236">
                  <c:v>39.667673575095577</c:v>
                </c:pt>
                <c:pt idx="1237">
                  <c:v>39.667673575095577</c:v>
                </c:pt>
                <c:pt idx="1238">
                  <c:v>39.667673575095577</c:v>
                </c:pt>
                <c:pt idx="1239">
                  <c:v>39.667673575095577</c:v>
                </c:pt>
                <c:pt idx="1240">
                  <c:v>39.667673575095577</c:v>
                </c:pt>
                <c:pt idx="1241">
                  <c:v>39.667673575095577</c:v>
                </c:pt>
                <c:pt idx="1242">
                  <c:v>39.667673575095577</c:v>
                </c:pt>
                <c:pt idx="1243">
                  <c:v>39.667673575095577</c:v>
                </c:pt>
                <c:pt idx="1244">
                  <c:v>39.667673575095577</c:v>
                </c:pt>
                <c:pt idx="1245">
                  <c:v>39.306595156559936</c:v>
                </c:pt>
                <c:pt idx="1246">
                  <c:v>40.876823121403895</c:v>
                </c:pt>
                <c:pt idx="1247">
                  <c:v>39.867634066886815</c:v>
                </c:pt>
                <c:pt idx="1248">
                  <c:v>39.102172810709881</c:v>
                </c:pt>
                <c:pt idx="1249">
                  <c:v>39.102172810709881</c:v>
                </c:pt>
                <c:pt idx="1250">
                  <c:v>39.102172810709881</c:v>
                </c:pt>
                <c:pt idx="1251">
                  <c:v>39.102172810709881</c:v>
                </c:pt>
                <c:pt idx="1252">
                  <c:v>39.102172810709881</c:v>
                </c:pt>
                <c:pt idx="1253">
                  <c:v>39.620270768309325</c:v>
                </c:pt>
                <c:pt idx="1254">
                  <c:v>39.668785336729876</c:v>
                </c:pt>
                <c:pt idx="1255">
                  <c:v>39.711347732430319</c:v>
                </c:pt>
                <c:pt idx="1256">
                  <c:v>38.853288924373054</c:v>
                </c:pt>
                <c:pt idx="1257">
                  <c:v>38.853288924373054</c:v>
                </c:pt>
                <c:pt idx="1258">
                  <c:v>38.853288924373054</c:v>
                </c:pt>
                <c:pt idx="1259">
                  <c:v>38.853288924373054</c:v>
                </c:pt>
                <c:pt idx="1260">
                  <c:v>38.853288924373054</c:v>
                </c:pt>
                <c:pt idx="1261">
                  <c:v>38.853288924373054</c:v>
                </c:pt>
                <c:pt idx="1262">
                  <c:v>38.853288924373054</c:v>
                </c:pt>
                <c:pt idx="1263">
                  <c:v>38.853288924373054</c:v>
                </c:pt>
                <c:pt idx="1264">
                  <c:v>38.853288924373054</c:v>
                </c:pt>
                <c:pt idx="1265">
                  <c:v>38.853288924373054</c:v>
                </c:pt>
                <c:pt idx="1266">
                  <c:v>38.458399723917772</c:v>
                </c:pt>
                <c:pt idx="1267">
                  <c:v>38.543680482615969</c:v>
                </c:pt>
                <c:pt idx="1268">
                  <c:v>38.396006671580516</c:v>
                </c:pt>
                <c:pt idx="1269">
                  <c:v>40.106890786941463</c:v>
                </c:pt>
                <c:pt idx="1270">
                  <c:v>39.274165673003814</c:v>
                </c:pt>
                <c:pt idx="1271">
                  <c:v>39.097454015669605</c:v>
                </c:pt>
                <c:pt idx="1272">
                  <c:v>38.844495188812886</c:v>
                </c:pt>
                <c:pt idx="1273">
                  <c:v>38.844495188812886</c:v>
                </c:pt>
                <c:pt idx="1274">
                  <c:v>38.844495188812886</c:v>
                </c:pt>
                <c:pt idx="1275">
                  <c:v>38.844495188812886</c:v>
                </c:pt>
                <c:pt idx="1276">
                  <c:v>39.400052883543154</c:v>
                </c:pt>
                <c:pt idx="1277">
                  <c:v>38.711819048096089</c:v>
                </c:pt>
                <c:pt idx="1278">
                  <c:v>38.711819048096089</c:v>
                </c:pt>
                <c:pt idx="1279">
                  <c:v>38.711819048096089</c:v>
                </c:pt>
                <c:pt idx="1280">
                  <c:v>38.711819048096089</c:v>
                </c:pt>
                <c:pt idx="1281">
                  <c:v>38.711819048096089</c:v>
                </c:pt>
                <c:pt idx="1282">
                  <c:v>39.058478234620388</c:v>
                </c:pt>
                <c:pt idx="1283">
                  <c:v>39.061960218642263</c:v>
                </c:pt>
                <c:pt idx="1284">
                  <c:v>40.948311497330749</c:v>
                </c:pt>
                <c:pt idx="1285">
                  <c:v>43.027414779651032</c:v>
                </c:pt>
                <c:pt idx="1286">
                  <c:v>42.585584003757369</c:v>
                </c:pt>
                <c:pt idx="1287">
                  <c:v>41.527295802596228</c:v>
                </c:pt>
                <c:pt idx="1288">
                  <c:v>43.042498217178817</c:v>
                </c:pt>
                <c:pt idx="1289">
                  <c:v>42.362505568723861</c:v>
                </c:pt>
                <c:pt idx="1290">
                  <c:v>42.362505568723861</c:v>
                </c:pt>
                <c:pt idx="1291">
                  <c:v>42.112752474847248</c:v>
                </c:pt>
                <c:pt idx="1292">
                  <c:v>45.647420995852713</c:v>
                </c:pt>
                <c:pt idx="1293">
                  <c:v>45.540104781356106</c:v>
                </c:pt>
                <c:pt idx="1294">
                  <c:v>45.109759284424563</c:v>
                </c:pt>
                <c:pt idx="1295">
                  <c:v>46.17109504522044</c:v>
                </c:pt>
                <c:pt idx="1296">
                  <c:v>46.242300860176677</c:v>
                </c:pt>
                <c:pt idx="1297">
                  <c:v>45.019056578363141</c:v>
                </c:pt>
                <c:pt idx="1298">
                  <c:v>45.019056578363141</c:v>
                </c:pt>
                <c:pt idx="1299">
                  <c:v>45.019056578363141</c:v>
                </c:pt>
                <c:pt idx="1300">
                  <c:v>45.019056578363141</c:v>
                </c:pt>
                <c:pt idx="1301">
                  <c:v>45.019056578363141</c:v>
                </c:pt>
                <c:pt idx="1302">
                  <c:v>45.019056578363141</c:v>
                </c:pt>
                <c:pt idx="1303">
                  <c:v>45.019056578363141</c:v>
                </c:pt>
                <c:pt idx="1304">
                  <c:v>45.019056578363141</c:v>
                </c:pt>
                <c:pt idx="1305">
                  <c:v>46.658088754930247</c:v>
                </c:pt>
                <c:pt idx="1306">
                  <c:v>49.008167180006311</c:v>
                </c:pt>
                <c:pt idx="1307">
                  <c:v>48.788435274042619</c:v>
                </c:pt>
                <c:pt idx="1308">
                  <c:v>49.795784884581074</c:v>
                </c:pt>
                <c:pt idx="1309">
                  <c:v>48.965956479299983</c:v>
                </c:pt>
                <c:pt idx="1310">
                  <c:v>49.187708402033238</c:v>
                </c:pt>
                <c:pt idx="1311">
                  <c:v>48.933677104410435</c:v>
                </c:pt>
                <c:pt idx="1312">
                  <c:v>48.933677104410435</c:v>
                </c:pt>
                <c:pt idx="1313">
                  <c:v>48.933677104410435</c:v>
                </c:pt>
                <c:pt idx="1314">
                  <c:v>48.933677104410435</c:v>
                </c:pt>
                <c:pt idx="1315">
                  <c:v>49.526057108724082</c:v>
                </c:pt>
                <c:pt idx="1316">
                  <c:v>49.862727144749748</c:v>
                </c:pt>
                <c:pt idx="1317">
                  <c:v>50.214841588094458</c:v>
                </c:pt>
                <c:pt idx="1318">
                  <c:v>51.495290265693228</c:v>
                </c:pt>
                <c:pt idx="1319">
                  <c:v>50.171535625343282</c:v>
                </c:pt>
                <c:pt idx="1320">
                  <c:v>50.171535625343282</c:v>
                </c:pt>
                <c:pt idx="1321">
                  <c:v>50.7505904058293</c:v>
                </c:pt>
                <c:pt idx="1322">
                  <c:v>50.201730027064094</c:v>
                </c:pt>
                <c:pt idx="1323">
                  <c:v>50.682085448371524</c:v>
                </c:pt>
                <c:pt idx="1324">
                  <c:v>48.604637762674152</c:v>
                </c:pt>
                <c:pt idx="1325">
                  <c:v>48.604637762674152</c:v>
                </c:pt>
                <c:pt idx="1326">
                  <c:v>48.604637762674152</c:v>
                </c:pt>
                <c:pt idx="1327">
                  <c:v>48.604637762674152</c:v>
                </c:pt>
                <c:pt idx="1328">
                  <c:v>46.167171389639371</c:v>
                </c:pt>
                <c:pt idx="1329">
                  <c:v>46.167171389639371</c:v>
                </c:pt>
                <c:pt idx="1330">
                  <c:v>46.167171389639371</c:v>
                </c:pt>
                <c:pt idx="1331">
                  <c:v>46.167171389639371</c:v>
                </c:pt>
                <c:pt idx="1332">
                  <c:v>46.167171389639371</c:v>
                </c:pt>
                <c:pt idx="1333">
                  <c:v>44.890984204825081</c:v>
                </c:pt>
                <c:pt idx="1334">
                  <c:v>44.890984204825081</c:v>
                </c:pt>
                <c:pt idx="1335">
                  <c:v>44.890984204825081</c:v>
                </c:pt>
                <c:pt idx="1336">
                  <c:v>44.890984204825081</c:v>
                </c:pt>
                <c:pt idx="1337">
                  <c:v>44.890984204825081</c:v>
                </c:pt>
                <c:pt idx="1338">
                  <c:v>44.890984204825081</c:v>
                </c:pt>
                <c:pt idx="1339">
                  <c:v>44.890984204825081</c:v>
                </c:pt>
                <c:pt idx="1340">
                  <c:v>44.890984204825081</c:v>
                </c:pt>
                <c:pt idx="1341">
                  <c:v>44.476555718651909</c:v>
                </c:pt>
                <c:pt idx="1342">
                  <c:v>44.311864767396763</c:v>
                </c:pt>
                <c:pt idx="1343">
                  <c:v>45.949240087245741</c:v>
                </c:pt>
                <c:pt idx="1344">
                  <c:v>46.170834700302834</c:v>
                </c:pt>
                <c:pt idx="1345">
                  <c:v>45.094869637314389</c:v>
                </c:pt>
                <c:pt idx="1346">
                  <c:v>45.094869637314389</c:v>
                </c:pt>
                <c:pt idx="1347">
                  <c:v>45.094869637314389</c:v>
                </c:pt>
                <c:pt idx="1348">
                  <c:v>45.094869637314389</c:v>
                </c:pt>
                <c:pt idx="1349">
                  <c:v>45.094869637314389</c:v>
                </c:pt>
                <c:pt idx="1350">
                  <c:v>45.094869637314389</c:v>
                </c:pt>
                <c:pt idx="1351">
                  <c:v>45.094869637314389</c:v>
                </c:pt>
                <c:pt idx="1352">
                  <c:v>45.094869637314389</c:v>
                </c:pt>
                <c:pt idx="1353">
                  <c:v>45.094869637314389</c:v>
                </c:pt>
                <c:pt idx="1354">
                  <c:v>45.094869637314389</c:v>
                </c:pt>
                <c:pt idx="1355">
                  <c:v>45.094869637314389</c:v>
                </c:pt>
                <c:pt idx="1356">
                  <c:v>45.094869637314389</c:v>
                </c:pt>
                <c:pt idx="1357">
                  <c:v>53.296614371446253</c:v>
                </c:pt>
                <c:pt idx="1358">
                  <c:v>53.361913379022155</c:v>
                </c:pt>
                <c:pt idx="1359">
                  <c:v>53.243874964135166</c:v>
                </c:pt>
                <c:pt idx="1360">
                  <c:v>50.189495410809734</c:v>
                </c:pt>
                <c:pt idx="1361">
                  <c:v>50.189495410809734</c:v>
                </c:pt>
                <c:pt idx="1362">
                  <c:v>52.680768175207135</c:v>
                </c:pt>
                <c:pt idx="1363">
                  <c:v>52.260399194696689</c:v>
                </c:pt>
                <c:pt idx="1364">
                  <c:v>52.537127500465992</c:v>
                </c:pt>
                <c:pt idx="1365">
                  <c:v>50.607851559681485</c:v>
                </c:pt>
                <c:pt idx="1366">
                  <c:v>50.607851559681485</c:v>
                </c:pt>
                <c:pt idx="1367">
                  <c:v>50.607851559681485</c:v>
                </c:pt>
                <c:pt idx="1368">
                  <c:v>50.607851559681485</c:v>
                </c:pt>
                <c:pt idx="1369">
                  <c:v>50.677135916848599</c:v>
                </c:pt>
                <c:pt idx="1370">
                  <c:v>52.00046412108447</c:v>
                </c:pt>
                <c:pt idx="1371">
                  <c:v>53.471104221556892</c:v>
                </c:pt>
                <c:pt idx="1372">
                  <c:v>52.996989820916795</c:v>
                </c:pt>
                <c:pt idx="1373">
                  <c:v>54.05277693914087</c:v>
                </c:pt>
                <c:pt idx="1374">
                  <c:v>53.451465711816418</c:v>
                </c:pt>
                <c:pt idx="1375">
                  <c:v>57.234569324268421</c:v>
                </c:pt>
                <c:pt idx="1376">
                  <c:v>56.483959293866015</c:v>
                </c:pt>
                <c:pt idx="1377">
                  <c:v>57.725055555192988</c:v>
                </c:pt>
                <c:pt idx="1378">
                  <c:v>57.473117662986624</c:v>
                </c:pt>
                <c:pt idx="1379">
                  <c:v>54.036766361783634</c:v>
                </c:pt>
                <c:pt idx="1380">
                  <c:v>54.036766361783634</c:v>
                </c:pt>
                <c:pt idx="1381">
                  <c:v>54.036766361783634</c:v>
                </c:pt>
                <c:pt idx="1382">
                  <c:v>54.036766361783634</c:v>
                </c:pt>
                <c:pt idx="1383">
                  <c:v>54.036766361783634</c:v>
                </c:pt>
                <c:pt idx="1384">
                  <c:v>54.036766361783634</c:v>
                </c:pt>
                <c:pt idx="1385">
                  <c:v>54.036766361783634</c:v>
                </c:pt>
                <c:pt idx="1386">
                  <c:v>53.850634693243592</c:v>
                </c:pt>
                <c:pt idx="1387">
                  <c:v>55.106300395286219</c:v>
                </c:pt>
                <c:pt idx="1388">
                  <c:v>54.588163113716831</c:v>
                </c:pt>
                <c:pt idx="1389">
                  <c:v>52.253620158904688</c:v>
                </c:pt>
                <c:pt idx="1390">
                  <c:v>52.253620158904688</c:v>
                </c:pt>
                <c:pt idx="1391">
                  <c:v>52.253620158904688</c:v>
                </c:pt>
                <c:pt idx="1392">
                  <c:v>54.548080340918972</c:v>
                </c:pt>
                <c:pt idx="1393">
                  <c:v>55.437740894873542</c:v>
                </c:pt>
                <c:pt idx="1394">
                  <c:v>55.57749455647388</c:v>
                </c:pt>
                <c:pt idx="1395">
                  <c:v>56.384594910980965</c:v>
                </c:pt>
                <c:pt idx="1396">
                  <c:v>57.234298183165158</c:v>
                </c:pt>
                <c:pt idx="1397">
                  <c:v>57.318417818058577</c:v>
                </c:pt>
                <c:pt idx="1398">
                  <c:v>64.61608711809734</c:v>
                </c:pt>
                <c:pt idx="1399">
                  <c:v>63.569985203981879</c:v>
                </c:pt>
                <c:pt idx="1400">
                  <c:v>65.083973667561708</c:v>
                </c:pt>
                <c:pt idx="1401">
                  <c:v>65.993118137759708</c:v>
                </c:pt>
                <c:pt idx="1402">
                  <c:v>65.324068622664598</c:v>
                </c:pt>
                <c:pt idx="1403">
                  <c:v>65.435558951225815</c:v>
                </c:pt>
                <c:pt idx="1404">
                  <c:v>66.099381685503133</c:v>
                </c:pt>
                <c:pt idx="1405">
                  <c:v>68.050053739057262</c:v>
                </c:pt>
                <c:pt idx="1406">
                  <c:v>73.062766417307174</c:v>
                </c:pt>
                <c:pt idx="1407">
                  <c:v>72.263585107747929</c:v>
                </c:pt>
                <c:pt idx="1408">
                  <c:v>70.437151271765529</c:v>
                </c:pt>
                <c:pt idx="1409">
                  <c:v>64.288585175951354</c:v>
                </c:pt>
                <c:pt idx="1410">
                  <c:v>64.288585175951354</c:v>
                </c:pt>
                <c:pt idx="1411">
                  <c:v>64.288585175951354</c:v>
                </c:pt>
                <c:pt idx="1412">
                  <c:v>64.288585175951354</c:v>
                </c:pt>
                <c:pt idx="1413">
                  <c:v>67.504644258375748</c:v>
                </c:pt>
                <c:pt idx="1414">
                  <c:v>64.692278936547851</c:v>
                </c:pt>
                <c:pt idx="1415">
                  <c:v>65.030827153698283</c:v>
                </c:pt>
                <c:pt idx="1416">
                  <c:v>67.067852850996942</c:v>
                </c:pt>
                <c:pt idx="1417">
                  <c:v>67.455082441890482</c:v>
                </c:pt>
                <c:pt idx="1418">
                  <c:v>67.472162915964844</c:v>
                </c:pt>
                <c:pt idx="1419">
                  <c:v>66.043132920545773</c:v>
                </c:pt>
                <c:pt idx="1420">
                  <c:v>66.043132920545773</c:v>
                </c:pt>
                <c:pt idx="1421">
                  <c:v>66.043132920545773</c:v>
                </c:pt>
                <c:pt idx="1422">
                  <c:v>66.043132920545773</c:v>
                </c:pt>
                <c:pt idx="1423">
                  <c:v>66.043132920545773</c:v>
                </c:pt>
                <c:pt idx="1424">
                  <c:v>66.043132920545773</c:v>
                </c:pt>
                <c:pt idx="1425">
                  <c:v>66.043132920545773</c:v>
                </c:pt>
                <c:pt idx="1426">
                  <c:v>66.043132920545773</c:v>
                </c:pt>
                <c:pt idx="1427">
                  <c:v>68.522953212673798</c:v>
                </c:pt>
                <c:pt idx="1428">
                  <c:v>67.899807097450889</c:v>
                </c:pt>
                <c:pt idx="1429">
                  <c:v>69.779382285705111</c:v>
                </c:pt>
                <c:pt idx="1430">
                  <c:v>68.057592198699297</c:v>
                </c:pt>
                <c:pt idx="1431">
                  <c:v>68.057592198699297</c:v>
                </c:pt>
                <c:pt idx="1432">
                  <c:v>63.790534418207784</c:v>
                </c:pt>
                <c:pt idx="1433">
                  <c:v>63.790534418207784</c:v>
                </c:pt>
                <c:pt idx="1434">
                  <c:v>63.790534418207784</c:v>
                </c:pt>
                <c:pt idx="1435">
                  <c:v>62.911170583538663</c:v>
                </c:pt>
                <c:pt idx="1436">
                  <c:v>62.911170583538663</c:v>
                </c:pt>
                <c:pt idx="1437">
                  <c:v>62.911170583538663</c:v>
                </c:pt>
                <c:pt idx="1438">
                  <c:v>62.992634134857653</c:v>
                </c:pt>
                <c:pt idx="1439">
                  <c:v>63.148711745571333</c:v>
                </c:pt>
                <c:pt idx="1440">
                  <c:v>63.628301643505601</c:v>
                </c:pt>
                <c:pt idx="1441">
                  <c:v>60.093557927792588</c:v>
                </c:pt>
                <c:pt idx="1442">
                  <c:v>60.093557927792588</c:v>
                </c:pt>
                <c:pt idx="1443">
                  <c:v>60.093557927792588</c:v>
                </c:pt>
                <c:pt idx="1444">
                  <c:v>60.093557927792588</c:v>
                </c:pt>
                <c:pt idx="1445">
                  <c:v>60.093557927792588</c:v>
                </c:pt>
                <c:pt idx="1446">
                  <c:v>60.64880827512976</c:v>
                </c:pt>
                <c:pt idx="1447">
                  <c:v>60.281472959378156</c:v>
                </c:pt>
                <c:pt idx="1448">
                  <c:v>59.846452958368367</c:v>
                </c:pt>
                <c:pt idx="1449">
                  <c:v>59.846452958368367</c:v>
                </c:pt>
                <c:pt idx="1450">
                  <c:v>59.846452958368367</c:v>
                </c:pt>
                <c:pt idx="1451">
                  <c:v>59.846452958368367</c:v>
                </c:pt>
                <c:pt idx="1452">
                  <c:v>59.846452958368367</c:v>
                </c:pt>
                <c:pt idx="1453">
                  <c:v>59.72823542042736</c:v>
                </c:pt>
                <c:pt idx="1454">
                  <c:v>57.767939421264344</c:v>
                </c:pt>
                <c:pt idx="1455">
                  <c:v>57.767939421264344</c:v>
                </c:pt>
                <c:pt idx="1456">
                  <c:v>57.767939421264344</c:v>
                </c:pt>
                <c:pt idx="1457">
                  <c:v>57.767939421264344</c:v>
                </c:pt>
                <c:pt idx="1458">
                  <c:v>57.767939421264344</c:v>
                </c:pt>
                <c:pt idx="1459">
                  <c:v>57.767939421264344</c:v>
                </c:pt>
                <c:pt idx="1460">
                  <c:v>57.435686310708668</c:v>
                </c:pt>
                <c:pt idx="1461">
                  <c:v>58.003456728481027</c:v>
                </c:pt>
                <c:pt idx="1462">
                  <c:v>57.34402668064304</c:v>
                </c:pt>
                <c:pt idx="1463">
                  <c:v>57.34402668064304</c:v>
                </c:pt>
                <c:pt idx="1464">
                  <c:v>57.34402668064304</c:v>
                </c:pt>
                <c:pt idx="1465">
                  <c:v>57.34402668064304</c:v>
                </c:pt>
                <c:pt idx="1466">
                  <c:v>57.34402668064304</c:v>
                </c:pt>
                <c:pt idx="1467">
                  <c:v>56.590504587547017</c:v>
                </c:pt>
                <c:pt idx="1468">
                  <c:v>57.667329080677511</c:v>
                </c:pt>
                <c:pt idx="1469">
                  <c:v>56.747637181623794</c:v>
                </c:pt>
                <c:pt idx="1470">
                  <c:v>56.747637181623794</c:v>
                </c:pt>
                <c:pt idx="1471">
                  <c:v>56.747637181623794</c:v>
                </c:pt>
                <c:pt idx="1472">
                  <c:v>56.747637181623794</c:v>
                </c:pt>
                <c:pt idx="1473">
                  <c:v>56.747637181623794</c:v>
                </c:pt>
                <c:pt idx="1474">
                  <c:v>56.747637181623794</c:v>
                </c:pt>
                <c:pt idx="1475">
                  <c:v>56.747637181623794</c:v>
                </c:pt>
                <c:pt idx="1476">
                  <c:v>56.747637181623794</c:v>
                </c:pt>
                <c:pt idx="1477">
                  <c:v>56.747637181623794</c:v>
                </c:pt>
                <c:pt idx="1478">
                  <c:v>56.747637181623794</c:v>
                </c:pt>
                <c:pt idx="1479">
                  <c:v>56.747637181623794</c:v>
                </c:pt>
                <c:pt idx="1480">
                  <c:v>56.614284761607692</c:v>
                </c:pt>
                <c:pt idx="1481">
                  <c:v>57.915665351555504</c:v>
                </c:pt>
                <c:pt idx="1482">
                  <c:v>58.845265146868591</c:v>
                </c:pt>
                <c:pt idx="1483">
                  <c:v>59.189421049030017</c:v>
                </c:pt>
                <c:pt idx="1484">
                  <c:v>58.916490203478801</c:v>
                </c:pt>
                <c:pt idx="1485">
                  <c:v>59.782737946866604</c:v>
                </c:pt>
                <c:pt idx="1486">
                  <c:v>61.191595614089714</c:v>
                </c:pt>
                <c:pt idx="1487">
                  <c:v>67.898810739991816</c:v>
                </c:pt>
                <c:pt idx="1488">
                  <c:v>67.416638949331869</c:v>
                </c:pt>
                <c:pt idx="1489">
                  <c:v>68.575859007854987</c:v>
                </c:pt>
                <c:pt idx="1490">
                  <c:v>68.642245636067329</c:v>
                </c:pt>
                <c:pt idx="1491">
                  <c:v>69.953490107862251</c:v>
                </c:pt>
                <c:pt idx="1492">
                  <c:v>72.64776516468325</c:v>
                </c:pt>
                <c:pt idx="1493">
                  <c:v>68.286409940989756</c:v>
                </c:pt>
                <c:pt idx="1494">
                  <c:v>68.286409940989756</c:v>
                </c:pt>
                <c:pt idx="1495">
                  <c:v>68.286409940989756</c:v>
                </c:pt>
                <c:pt idx="1496">
                  <c:v>68.286409940989756</c:v>
                </c:pt>
                <c:pt idx="1497">
                  <c:v>68.476794070143754</c:v>
                </c:pt>
                <c:pt idx="1498">
                  <c:v>67.440316926010112</c:v>
                </c:pt>
                <c:pt idx="1499">
                  <c:v>68.327237759253407</c:v>
                </c:pt>
                <c:pt idx="1500">
                  <c:v>67.872034805662878</c:v>
                </c:pt>
                <c:pt idx="1501">
                  <c:v>67.872034805662878</c:v>
                </c:pt>
                <c:pt idx="1502">
                  <c:v>65.200228816111988</c:v>
                </c:pt>
                <c:pt idx="1503">
                  <c:v>65.200228816111988</c:v>
                </c:pt>
                <c:pt idx="1504">
                  <c:v>65.200228816111988</c:v>
                </c:pt>
                <c:pt idx="1505">
                  <c:v>65.115760533051557</c:v>
                </c:pt>
                <c:pt idx="1506">
                  <c:v>65.651493598008045</c:v>
                </c:pt>
                <c:pt idx="1507">
                  <c:v>65.801464926136532</c:v>
                </c:pt>
                <c:pt idx="1508">
                  <c:v>67.802147048274051</c:v>
                </c:pt>
                <c:pt idx="1509">
                  <c:v>66.346064648305543</c:v>
                </c:pt>
                <c:pt idx="1510">
                  <c:v>65.057178994567607</c:v>
                </c:pt>
                <c:pt idx="1511">
                  <c:v>65.057178994567607</c:v>
                </c:pt>
                <c:pt idx="1512">
                  <c:v>65.057178994567607</c:v>
                </c:pt>
                <c:pt idx="1513">
                  <c:v>65.057178994567607</c:v>
                </c:pt>
                <c:pt idx="1514">
                  <c:v>65.057178994567607</c:v>
                </c:pt>
                <c:pt idx="1515">
                  <c:v>65.057178994567607</c:v>
                </c:pt>
                <c:pt idx="1516">
                  <c:v>62.800344283552654</c:v>
                </c:pt>
                <c:pt idx="1517">
                  <c:v>62.800344283552654</c:v>
                </c:pt>
                <c:pt idx="1518">
                  <c:v>62.800344283552654</c:v>
                </c:pt>
                <c:pt idx="1519">
                  <c:v>62.800344283552654</c:v>
                </c:pt>
                <c:pt idx="1520">
                  <c:v>62.606462925678386</c:v>
                </c:pt>
                <c:pt idx="1521">
                  <c:v>63.719870047567177</c:v>
                </c:pt>
                <c:pt idx="1522">
                  <c:v>63.552916367400073</c:v>
                </c:pt>
                <c:pt idx="1523">
                  <c:v>65.128886466854709</c:v>
                </c:pt>
                <c:pt idx="1524">
                  <c:v>62.101388448623581</c:v>
                </c:pt>
                <c:pt idx="1525">
                  <c:v>62.101388448623581</c:v>
                </c:pt>
                <c:pt idx="1526">
                  <c:v>62.101388448623581</c:v>
                </c:pt>
                <c:pt idx="1527">
                  <c:v>62.101388448623581</c:v>
                </c:pt>
                <c:pt idx="1528">
                  <c:v>62.101388448623581</c:v>
                </c:pt>
                <c:pt idx="1529">
                  <c:v>62.101388448623581</c:v>
                </c:pt>
                <c:pt idx="1530">
                  <c:v>60.675769955989324</c:v>
                </c:pt>
                <c:pt idx="1531">
                  <c:v>60.675769955989324</c:v>
                </c:pt>
                <c:pt idx="1532">
                  <c:v>61.391337142900113</c:v>
                </c:pt>
                <c:pt idx="1533">
                  <c:v>61.615124718839532</c:v>
                </c:pt>
                <c:pt idx="1534">
                  <c:v>61.859524840188108</c:v>
                </c:pt>
                <c:pt idx="1535">
                  <c:v>61.158032964789349</c:v>
                </c:pt>
                <c:pt idx="1536">
                  <c:v>61.158032964789349</c:v>
                </c:pt>
                <c:pt idx="1537">
                  <c:v>61.822892776305785</c:v>
                </c:pt>
                <c:pt idx="1538">
                  <c:v>62.84185054780685</c:v>
                </c:pt>
                <c:pt idx="1539">
                  <c:v>62.693462113713927</c:v>
                </c:pt>
                <c:pt idx="1540">
                  <c:v>62.668243298233008</c:v>
                </c:pt>
                <c:pt idx="1541">
                  <c:v>63.525767070200857</c:v>
                </c:pt>
                <c:pt idx="1542">
                  <c:v>62.632086997591841</c:v>
                </c:pt>
                <c:pt idx="1543">
                  <c:v>62.632086997591841</c:v>
                </c:pt>
                <c:pt idx="1544">
                  <c:v>62.632086997591841</c:v>
                </c:pt>
                <c:pt idx="1545">
                  <c:v>62.632086997591841</c:v>
                </c:pt>
                <c:pt idx="1546">
                  <c:v>62.632086997591841</c:v>
                </c:pt>
                <c:pt idx="1547">
                  <c:v>62.379946480673929</c:v>
                </c:pt>
                <c:pt idx="1548">
                  <c:v>62.683895991893401</c:v>
                </c:pt>
                <c:pt idx="1549">
                  <c:v>62.800406462053012</c:v>
                </c:pt>
                <c:pt idx="1550">
                  <c:v>62.490907203681758</c:v>
                </c:pt>
                <c:pt idx="1551">
                  <c:v>62.490907203681758</c:v>
                </c:pt>
                <c:pt idx="1552">
                  <c:v>62.13831729213998</c:v>
                </c:pt>
                <c:pt idx="1553">
                  <c:v>61.191992991447364</c:v>
                </c:pt>
                <c:pt idx="1554">
                  <c:v>61.191992991447364</c:v>
                </c:pt>
                <c:pt idx="1555">
                  <c:v>61.191992991447364</c:v>
                </c:pt>
                <c:pt idx="1556">
                  <c:v>61.191992991447364</c:v>
                </c:pt>
                <c:pt idx="1557">
                  <c:v>61.876808760353242</c:v>
                </c:pt>
                <c:pt idx="1558">
                  <c:v>60.832526518843871</c:v>
                </c:pt>
                <c:pt idx="1559">
                  <c:v>60.832526518843871</c:v>
                </c:pt>
                <c:pt idx="1560">
                  <c:v>62.225243783182307</c:v>
                </c:pt>
                <c:pt idx="1561">
                  <c:v>62.997191028511942</c:v>
                </c:pt>
                <c:pt idx="1562">
                  <c:v>64.348478545965378</c:v>
                </c:pt>
                <c:pt idx="1563">
                  <c:v>64.84873728972326</c:v>
                </c:pt>
                <c:pt idx="1564">
                  <c:v>65.786011935662231</c:v>
                </c:pt>
                <c:pt idx="1565">
                  <c:v>65.104324956642856</c:v>
                </c:pt>
                <c:pt idx="1566">
                  <c:v>65.106927272618023</c:v>
                </c:pt>
                <c:pt idx="1567">
                  <c:v>65.481993379550673</c:v>
                </c:pt>
                <c:pt idx="1568">
                  <c:v>64.495227341816118</c:v>
                </c:pt>
                <c:pt idx="1569">
                  <c:v>64.495227341816118</c:v>
                </c:pt>
                <c:pt idx="1570">
                  <c:v>64.495227341816118</c:v>
                </c:pt>
                <c:pt idx="1571">
                  <c:v>65.94806694369403</c:v>
                </c:pt>
                <c:pt idx="1572">
                  <c:v>66.926994731533142</c:v>
                </c:pt>
                <c:pt idx="1573">
                  <c:v>72.023067433791326</c:v>
                </c:pt>
                <c:pt idx="1574">
                  <c:v>72.821732670047581</c:v>
                </c:pt>
                <c:pt idx="1575">
                  <c:v>72.628794807509109</c:v>
                </c:pt>
                <c:pt idx="1576">
                  <c:v>73.62022238794863</c:v>
                </c:pt>
                <c:pt idx="1577">
                  <c:v>73.188384262996607</c:v>
                </c:pt>
                <c:pt idx="1578">
                  <c:v>73.435923043373563</c:v>
                </c:pt>
                <c:pt idx="1579">
                  <c:v>76.687658523805311</c:v>
                </c:pt>
                <c:pt idx="1580">
                  <c:v>74.536947360344158</c:v>
                </c:pt>
                <c:pt idx="1581">
                  <c:v>75.472627714145588</c:v>
                </c:pt>
                <c:pt idx="1582">
                  <c:v>76.082792263323498</c:v>
                </c:pt>
                <c:pt idx="1583">
                  <c:v>77.399686280163365</c:v>
                </c:pt>
                <c:pt idx="1584">
                  <c:v>77.153206063449403</c:v>
                </c:pt>
                <c:pt idx="1585">
                  <c:v>76.105071412305875</c:v>
                </c:pt>
                <c:pt idx="1586">
                  <c:v>76.105071412305875</c:v>
                </c:pt>
                <c:pt idx="1587">
                  <c:v>77.105633763816172</c:v>
                </c:pt>
                <c:pt idx="1588">
                  <c:v>84.994976912776366</c:v>
                </c:pt>
                <c:pt idx="1589">
                  <c:v>84.918776517212947</c:v>
                </c:pt>
                <c:pt idx="1590">
                  <c:v>80.924699621263414</c:v>
                </c:pt>
                <c:pt idx="1591">
                  <c:v>84.447898264625664</c:v>
                </c:pt>
                <c:pt idx="1592">
                  <c:v>83.644573621337003</c:v>
                </c:pt>
                <c:pt idx="1593">
                  <c:v>83.644573621337003</c:v>
                </c:pt>
                <c:pt idx="1594">
                  <c:v>83.644573621337003</c:v>
                </c:pt>
                <c:pt idx="1595">
                  <c:v>86.707748931586224</c:v>
                </c:pt>
                <c:pt idx="1596">
                  <c:v>86.928641494330193</c:v>
                </c:pt>
                <c:pt idx="1597">
                  <c:v>85.598593588912564</c:v>
                </c:pt>
                <c:pt idx="1598">
                  <c:v>84.999010229719758</c:v>
                </c:pt>
                <c:pt idx="1599">
                  <c:v>84.999010229719758</c:v>
                </c:pt>
                <c:pt idx="1600">
                  <c:v>89.724340603010319</c:v>
                </c:pt>
                <c:pt idx="1601">
                  <c:v>90.530796693383436</c:v>
                </c:pt>
                <c:pt idx="1602">
                  <c:v>90.597326866163357</c:v>
                </c:pt>
                <c:pt idx="1603">
                  <c:v>94.686692773465097</c:v>
                </c:pt>
                <c:pt idx="1604">
                  <c:v>94.793057622689204</c:v>
                </c:pt>
                <c:pt idx="1605">
                  <c:v>93.408805031560931</c:v>
                </c:pt>
                <c:pt idx="1606">
                  <c:v>93.378901713469034</c:v>
                </c:pt>
                <c:pt idx="1607">
                  <c:v>97.15869725147877</c:v>
                </c:pt>
                <c:pt idx="1608">
                  <c:v>95.250128528771626</c:v>
                </c:pt>
                <c:pt idx="1609">
                  <c:v>87.208439523622005</c:v>
                </c:pt>
                <c:pt idx="1610">
                  <c:v>87.208439523622005</c:v>
                </c:pt>
                <c:pt idx="1611">
                  <c:v>87.208439523622005</c:v>
                </c:pt>
                <c:pt idx="1612">
                  <c:v>87.208439523622005</c:v>
                </c:pt>
                <c:pt idx="1613">
                  <c:v>94.157062175970125</c:v>
                </c:pt>
                <c:pt idx="1614">
                  <c:v>90.209408750740977</c:v>
                </c:pt>
                <c:pt idx="1615">
                  <c:v>92.119306402439918</c:v>
                </c:pt>
                <c:pt idx="1616">
                  <c:v>93.291393831444665</c:v>
                </c:pt>
                <c:pt idx="1617">
                  <c:v>89.714140085113854</c:v>
                </c:pt>
                <c:pt idx="1618">
                  <c:v>89.714140085113854</c:v>
                </c:pt>
                <c:pt idx="1619">
                  <c:v>90.608229163758992</c:v>
                </c:pt>
                <c:pt idx="1620">
                  <c:v>89.889315163701767</c:v>
                </c:pt>
                <c:pt idx="1621">
                  <c:v>85.812151505325602</c:v>
                </c:pt>
                <c:pt idx="1622">
                  <c:v>85.812151505325602</c:v>
                </c:pt>
                <c:pt idx="1623">
                  <c:v>85.812151505325602</c:v>
                </c:pt>
                <c:pt idx="1624">
                  <c:v>85.812151505325602</c:v>
                </c:pt>
                <c:pt idx="1625">
                  <c:v>85.812151505325602</c:v>
                </c:pt>
                <c:pt idx="1626">
                  <c:v>87.357960190433545</c:v>
                </c:pt>
                <c:pt idx="1627">
                  <c:v>87.833767779248703</c:v>
                </c:pt>
                <c:pt idx="1628">
                  <c:v>88.611547675049195</c:v>
                </c:pt>
                <c:pt idx="1629">
                  <c:v>97.252800753880436</c:v>
                </c:pt>
                <c:pt idx="1630">
                  <c:v>104.0733780698112</c:v>
                </c:pt>
                <c:pt idx="1631">
                  <c:v>105.59213501554844</c:v>
                </c:pt>
                <c:pt idx="1632">
                  <c:v>108.93209360019254</c:v>
                </c:pt>
                <c:pt idx="1633">
                  <c:v>107.14071572021399</c:v>
                </c:pt>
                <c:pt idx="1634">
                  <c:v>104.06388544954068</c:v>
                </c:pt>
                <c:pt idx="1635">
                  <c:v>104.06388544954068</c:v>
                </c:pt>
                <c:pt idx="1636">
                  <c:v>101.69372062436334</c:v>
                </c:pt>
                <c:pt idx="1637">
                  <c:v>101.69372062436334</c:v>
                </c:pt>
                <c:pt idx="1638">
                  <c:v>105.67322771450908</c:v>
                </c:pt>
                <c:pt idx="1639">
                  <c:v>113.26619555397914</c:v>
                </c:pt>
                <c:pt idx="1640">
                  <c:v>112.56037815500973</c:v>
                </c:pt>
                <c:pt idx="1641">
                  <c:v>116.04149186996924</c:v>
                </c:pt>
                <c:pt idx="1642">
                  <c:v>117.23095836838135</c:v>
                </c:pt>
                <c:pt idx="1643">
                  <c:v>123.56547457079849</c:v>
                </c:pt>
                <c:pt idx="1644">
                  <c:v>124.25426325212497</c:v>
                </c:pt>
                <c:pt idx="1645">
                  <c:v>125.84990027098115</c:v>
                </c:pt>
                <c:pt idx="1646">
                  <c:v>137.64527988145667</c:v>
                </c:pt>
                <c:pt idx="1647">
                  <c:v>140.45049988296836</c:v>
                </c:pt>
                <c:pt idx="1648">
                  <c:v>136.9796870793042</c:v>
                </c:pt>
                <c:pt idx="1649">
                  <c:v>145.63633483289115</c:v>
                </c:pt>
                <c:pt idx="1650">
                  <c:v>157.76940189400381</c:v>
                </c:pt>
                <c:pt idx="1651">
                  <c:v>168.6803340973768</c:v>
                </c:pt>
                <c:pt idx="1652">
                  <c:v>174.79228033577451</c:v>
                </c:pt>
                <c:pt idx="1653">
                  <c:v>172.46559663557676</c:v>
                </c:pt>
                <c:pt idx="1654">
                  <c:v>164.33339996212121</c:v>
                </c:pt>
                <c:pt idx="1655">
                  <c:v>164.33339996212121</c:v>
                </c:pt>
                <c:pt idx="1656">
                  <c:v>164.33339996212121</c:v>
                </c:pt>
                <c:pt idx="1657">
                  <c:v>164.33339996212121</c:v>
                </c:pt>
                <c:pt idx="1658">
                  <c:v>172.5727529177679</c:v>
                </c:pt>
                <c:pt idx="1659">
                  <c:v>162.17117361432258</c:v>
                </c:pt>
                <c:pt idx="1660">
                  <c:v>159.32092392692024</c:v>
                </c:pt>
                <c:pt idx="1661">
                  <c:v>159.32092392692024</c:v>
                </c:pt>
                <c:pt idx="1662">
                  <c:v>159.32092392692024</c:v>
                </c:pt>
                <c:pt idx="1663">
                  <c:v>159.32092392692024</c:v>
                </c:pt>
                <c:pt idx="1664">
                  <c:v>159.32092392692024</c:v>
                </c:pt>
                <c:pt idx="1665">
                  <c:v>159.32092392692024</c:v>
                </c:pt>
                <c:pt idx="1666">
                  <c:v>159.32092392692024</c:v>
                </c:pt>
                <c:pt idx="1667">
                  <c:v>159.32092392692024</c:v>
                </c:pt>
                <c:pt idx="1668">
                  <c:v>159.32092392692024</c:v>
                </c:pt>
                <c:pt idx="1669">
                  <c:v>159.32092392692024</c:v>
                </c:pt>
                <c:pt idx="1670">
                  <c:v>160.32242454458196</c:v>
                </c:pt>
                <c:pt idx="1671">
                  <c:v>149.80172640153748</c:v>
                </c:pt>
                <c:pt idx="1672">
                  <c:v>149.80172640153748</c:v>
                </c:pt>
                <c:pt idx="1673">
                  <c:v>149.80172640153748</c:v>
                </c:pt>
                <c:pt idx="1674">
                  <c:v>149.59715357001747</c:v>
                </c:pt>
                <c:pt idx="1675">
                  <c:v>144.55450230456231</c:v>
                </c:pt>
                <c:pt idx="1676">
                  <c:v>146.40022773271829</c:v>
                </c:pt>
                <c:pt idx="1677">
                  <c:v>155.01348234048712</c:v>
                </c:pt>
                <c:pt idx="1678">
                  <c:v>163.57735435463982</c:v>
                </c:pt>
                <c:pt idx="1679">
                  <c:v>161.19379182115154</c:v>
                </c:pt>
                <c:pt idx="1680">
                  <c:v>166.5117987672775</c:v>
                </c:pt>
                <c:pt idx="1681">
                  <c:v>171.40838260668167</c:v>
                </c:pt>
                <c:pt idx="1682">
                  <c:v>169.82565015661066</c:v>
                </c:pt>
                <c:pt idx="1683">
                  <c:v>201.66197111444586</c:v>
                </c:pt>
                <c:pt idx="1684">
                  <c:v>202.90451618127261</c:v>
                </c:pt>
                <c:pt idx="1685">
                  <c:v>196.08187494509323</c:v>
                </c:pt>
                <c:pt idx="1686">
                  <c:v>209.13917038400294</c:v>
                </c:pt>
                <c:pt idx="1687">
                  <c:v>207.37348704157361</c:v>
                </c:pt>
                <c:pt idx="1688">
                  <c:v>205.63026117643741</c:v>
                </c:pt>
                <c:pt idx="1689">
                  <c:v>212.66615471492756</c:v>
                </c:pt>
                <c:pt idx="1690">
                  <c:v>209.29512796950337</c:v>
                </c:pt>
                <c:pt idx="1691">
                  <c:v>214.77277572855937</c:v>
                </c:pt>
                <c:pt idx="1692">
                  <c:v>227.64667692095273</c:v>
                </c:pt>
                <c:pt idx="1693">
                  <c:v>225.59842489679752</c:v>
                </c:pt>
                <c:pt idx="1694">
                  <c:v>243.96912324427214</c:v>
                </c:pt>
                <c:pt idx="1695">
                  <c:v>244.89189216962708</c:v>
                </c:pt>
                <c:pt idx="1696">
                  <c:v>251.1797997708494</c:v>
                </c:pt>
                <c:pt idx="1697">
                  <c:v>236.63185267674251</c:v>
                </c:pt>
                <c:pt idx="1698">
                  <c:v>236.63185267674251</c:v>
                </c:pt>
                <c:pt idx="1699">
                  <c:v>236.63185267674251</c:v>
                </c:pt>
                <c:pt idx="1700">
                  <c:v>236.63185267674251</c:v>
                </c:pt>
                <c:pt idx="1701">
                  <c:v>236.63185267674251</c:v>
                </c:pt>
                <c:pt idx="1702">
                  <c:v>236.63185267674251</c:v>
                </c:pt>
                <c:pt idx="1703">
                  <c:v>236.63185267674251</c:v>
                </c:pt>
                <c:pt idx="1704">
                  <c:v>236.63185267674251</c:v>
                </c:pt>
                <c:pt idx="1705">
                  <c:v>230.66135609088948</c:v>
                </c:pt>
                <c:pt idx="1706">
                  <c:v>240.9562475722968</c:v>
                </c:pt>
                <c:pt idx="1707">
                  <c:v>231.52995246670085</c:v>
                </c:pt>
                <c:pt idx="1708">
                  <c:v>233.27561923485806</c:v>
                </c:pt>
                <c:pt idx="1709">
                  <c:v>233.27561923485806</c:v>
                </c:pt>
                <c:pt idx="1710">
                  <c:v>233.27561923485806</c:v>
                </c:pt>
                <c:pt idx="1711">
                  <c:v>238.01264587151005</c:v>
                </c:pt>
                <c:pt idx="1712">
                  <c:v>249.75505221836289</c:v>
                </c:pt>
                <c:pt idx="1713">
                  <c:v>255.15082125290101</c:v>
                </c:pt>
                <c:pt idx="1714">
                  <c:v>263.33522139196043</c:v>
                </c:pt>
                <c:pt idx="1715">
                  <c:v>261.18029486319318</c:v>
                </c:pt>
                <c:pt idx="1716">
                  <c:v>278.99710767813048</c:v>
                </c:pt>
                <c:pt idx="1717">
                  <c:v>270.15579803795333</c:v>
                </c:pt>
                <c:pt idx="1718">
                  <c:v>254.68910721247394</c:v>
                </c:pt>
                <c:pt idx="1719">
                  <c:v>254.68910721247394</c:v>
                </c:pt>
                <c:pt idx="1720">
                  <c:v>254.68910721247394</c:v>
                </c:pt>
                <c:pt idx="1721">
                  <c:v>250.31107942245359</c:v>
                </c:pt>
                <c:pt idx="1722">
                  <c:v>252.42111424865314</c:v>
                </c:pt>
                <c:pt idx="1723">
                  <c:v>252.27831481455283</c:v>
                </c:pt>
                <c:pt idx="1724">
                  <c:v>248.85962881769356</c:v>
                </c:pt>
                <c:pt idx="1725">
                  <c:v>248.85962881769356</c:v>
                </c:pt>
                <c:pt idx="1726">
                  <c:v>248.85962881769356</c:v>
                </c:pt>
                <c:pt idx="1727">
                  <c:v>248.85962881769356</c:v>
                </c:pt>
                <c:pt idx="1728">
                  <c:v>248.85962881769356</c:v>
                </c:pt>
                <c:pt idx="1729">
                  <c:v>248.85962881769356</c:v>
                </c:pt>
                <c:pt idx="1730">
                  <c:v>252.633774089246</c:v>
                </c:pt>
                <c:pt idx="1731">
                  <c:v>252.53102252718352</c:v>
                </c:pt>
                <c:pt idx="1732">
                  <c:v>260.65276833701671</c:v>
                </c:pt>
                <c:pt idx="1733">
                  <c:v>265.9221886103457</c:v>
                </c:pt>
                <c:pt idx="1734">
                  <c:v>265.92733676685259</c:v>
                </c:pt>
                <c:pt idx="1735">
                  <c:v>266.72611203863636</c:v>
                </c:pt>
                <c:pt idx="1736">
                  <c:v>268.02826065096883</c:v>
                </c:pt>
                <c:pt idx="1737">
                  <c:v>259.99241147983992</c:v>
                </c:pt>
                <c:pt idx="1738">
                  <c:v>259.99241147983992</c:v>
                </c:pt>
                <c:pt idx="1739">
                  <c:v>261.31684884330747</c:v>
                </c:pt>
                <c:pt idx="1740">
                  <c:v>257.4871339831912</c:v>
                </c:pt>
                <c:pt idx="1741">
                  <c:v>257.4871339831912</c:v>
                </c:pt>
                <c:pt idx="1742">
                  <c:v>257.4871339831912</c:v>
                </c:pt>
                <c:pt idx="1743">
                  <c:v>257.13859093970177</c:v>
                </c:pt>
                <c:pt idx="1744">
                  <c:v>263.97368021003768</c:v>
                </c:pt>
                <c:pt idx="1745">
                  <c:v>265.7913776183247</c:v>
                </c:pt>
                <c:pt idx="1746">
                  <c:v>264.41612344864279</c:v>
                </c:pt>
                <c:pt idx="1747">
                  <c:v>280.35347867955278</c:v>
                </c:pt>
                <c:pt idx="1748">
                  <c:v>278.61510926514046</c:v>
                </c:pt>
                <c:pt idx="1749">
                  <c:v>279.51712023984129</c:v>
                </c:pt>
                <c:pt idx="1750">
                  <c:v>271.83001387448309</c:v>
                </c:pt>
                <c:pt idx="1751">
                  <c:v>271.83001387448309</c:v>
                </c:pt>
                <c:pt idx="1752">
                  <c:v>271.83001387448309</c:v>
                </c:pt>
                <c:pt idx="1753">
                  <c:v>271.83001387448309</c:v>
                </c:pt>
                <c:pt idx="1754">
                  <c:v>271.83001387448309</c:v>
                </c:pt>
                <c:pt idx="1755">
                  <c:v>271.83001387448309</c:v>
                </c:pt>
                <c:pt idx="1756">
                  <c:v>271.83001387448309</c:v>
                </c:pt>
                <c:pt idx="1757">
                  <c:v>271.83001387448309</c:v>
                </c:pt>
                <c:pt idx="1758">
                  <c:v>271.83001387448309</c:v>
                </c:pt>
                <c:pt idx="1759">
                  <c:v>271.83001387448309</c:v>
                </c:pt>
                <c:pt idx="1760">
                  <c:v>271.83001387448309</c:v>
                </c:pt>
                <c:pt idx="1761">
                  <c:v>276.91905440168574</c:v>
                </c:pt>
                <c:pt idx="1762">
                  <c:v>275.87034358538187</c:v>
                </c:pt>
                <c:pt idx="1763">
                  <c:v>269.4819229636085</c:v>
                </c:pt>
                <c:pt idx="1764">
                  <c:v>290.59091844960483</c:v>
                </c:pt>
                <c:pt idx="1765">
                  <c:v>290.98277470749883</c:v>
                </c:pt>
                <c:pt idx="1766">
                  <c:v>284.95977341335316</c:v>
                </c:pt>
                <c:pt idx="1767">
                  <c:v>287.82398399065721</c:v>
                </c:pt>
                <c:pt idx="1768">
                  <c:v>268.36701171711445</c:v>
                </c:pt>
                <c:pt idx="1769">
                  <c:v>268.36701171711445</c:v>
                </c:pt>
                <c:pt idx="1770">
                  <c:v>263.56510013765455</c:v>
                </c:pt>
                <c:pt idx="1771">
                  <c:v>268.0510623714967</c:v>
                </c:pt>
                <c:pt idx="1772">
                  <c:v>274.81526637566452</c:v>
                </c:pt>
                <c:pt idx="1773">
                  <c:v>272.14458437200608</c:v>
                </c:pt>
                <c:pt idx="1774">
                  <c:v>261.05678327584474</c:v>
                </c:pt>
                <c:pt idx="1775">
                  <c:v>261.05678327584474</c:v>
                </c:pt>
                <c:pt idx="1776">
                  <c:v>261.05678327584474</c:v>
                </c:pt>
                <c:pt idx="1777">
                  <c:v>261.05678327584474</c:v>
                </c:pt>
                <c:pt idx="1778">
                  <c:v>261.05678327584474</c:v>
                </c:pt>
                <c:pt idx="1779">
                  <c:v>261.05678327584474</c:v>
                </c:pt>
                <c:pt idx="1780">
                  <c:v>261.05678327584474</c:v>
                </c:pt>
                <c:pt idx="1781">
                  <c:v>261.05678327584474</c:v>
                </c:pt>
                <c:pt idx="1782">
                  <c:v>261.05678327584474</c:v>
                </c:pt>
                <c:pt idx="1783">
                  <c:v>261.05678327584474</c:v>
                </c:pt>
                <c:pt idx="1784">
                  <c:v>261.05678327584474</c:v>
                </c:pt>
                <c:pt idx="1785">
                  <c:v>261.05678327584474</c:v>
                </c:pt>
                <c:pt idx="1786">
                  <c:v>261.05678327584474</c:v>
                </c:pt>
                <c:pt idx="1787">
                  <c:v>261.05678327584474</c:v>
                </c:pt>
                <c:pt idx="1788">
                  <c:v>261.05678327584474</c:v>
                </c:pt>
                <c:pt idx="1789">
                  <c:v>259.00805497608764</c:v>
                </c:pt>
                <c:pt idx="1790">
                  <c:v>265.02408995240665</c:v>
                </c:pt>
                <c:pt idx="1791">
                  <c:v>259.24240386535826</c:v>
                </c:pt>
                <c:pt idx="1792">
                  <c:v>240.76646403134274</c:v>
                </c:pt>
                <c:pt idx="1793">
                  <c:v>240.76646403134274</c:v>
                </c:pt>
                <c:pt idx="1794">
                  <c:v>240.76646403134274</c:v>
                </c:pt>
                <c:pt idx="1795">
                  <c:v>240.76646403134274</c:v>
                </c:pt>
                <c:pt idx="1796">
                  <c:v>236.58784608313277</c:v>
                </c:pt>
                <c:pt idx="1797">
                  <c:v>242.32925757137164</c:v>
                </c:pt>
                <c:pt idx="1798">
                  <c:v>252.86455429062241</c:v>
                </c:pt>
                <c:pt idx="1799">
                  <c:v>237.93882422748175</c:v>
                </c:pt>
                <c:pt idx="1800">
                  <c:v>237.93882422748175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0B-4755-BFCA-A9B4DA4B5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49120"/>
        <c:axId val="129350656"/>
      </c:lineChart>
      <c:dateAx>
        <c:axId val="1293491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9350656"/>
        <c:crosses val="autoZero"/>
        <c:auto val="1"/>
        <c:lblOffset val="100"/>
        <c:baseTimeUnit val="days"/>
      </c:dateAx>
      <c:valAx>
        <c:axId val="129350656"/>
        <c:scaling>
          <c:logBase val="10"/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934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695325</xdr:colOff>
      <xdr:row>18</xdr:row>
      <xdr:rowOff>76200</xdr:rowOff>
    </xdr:from>
    <xdr:to>
      <xdr:col>18</xdr:col>
      <xdr:colOff>619125</xdr:colOff>
      <xdr:row>41</xdr:row>
      <xdr:rowOff>95250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2"/>
  <sheetViews>
    <sheetView tabSelected="1" workbookViewId="0"/>
  </sheetViews>
  <sheetFormatPr defaultColWidth="11.5546875" defaultRowHeight="14.4" x14ac:dyDescent="0.3"/>
  <cols>
    <col min="1" max="1" width="11.44140625" style="1"/>
    <col min="3" max="3" width="11.44140625" style="2"/>
    <col min="6" max="8" width="11.44140625" style="2"/>
    <col min="14" max="14" width="13.6640625" customWidth="1"/>
  </cols>
  <sheetData>
    <row r="1" spans="1:14" s="5" customFormat="1" x14ac:dyDescent="0.3">
      <c r="A1" s="4" t="s">
        <v>0</v>
      </c>
      <c r="B1" s="5" t="s">
        <v>1</v>
      </c>
      <c r="C1" s="6" t="s">
        <v>10</v>
      </c>
      <c r="D1" s="5" t="s">
        <v>2</v>
      </c>
      <c r="E1" s="5" t="s">
        <v>11</v>
      </c>
      <c r="F1" s="6" t="s">
        <v>12</v>
      </c>
      <c r="G1" s="6" t="s">
        <v>8</v>
      </c>
      <c r="H1" s="6" t="s">
        <v>9</v>
      </c>
      <c r="K1" s="5" t="s">
        <v>5</v>
      </c>
      <c r="L1" s="5" t="s">
        <v>3</v>
      </c>
      <c r="M1" s="5" t="s">
        <v>4</v>
      </c>
      <c r="N1" s="5" t="s">
        <v>13</v>
      </c>
    </row>
    <row r="2" spans="1:14" x14ac:dyDescent="0.3">
      <c r="A2" s="1">
        <v>42552</v>
      </c>
      <c r="B2">
        <v>676.296021</v>
      </c>
      <c r="G2" s="2">
        <v>1</v>
      </c>
      <c r="H2" s="2">
        <v>1</v>
      </c>
      <c r="J2" t="s">
        <v>6</v>
      </c>
      <c r="K2" s="2">
        <f>SUM(C:C)</f>
        <v>5.4933837235353389</v>
      </c>
      <c r="L2" s="2">
        <f>AVERAGE(C:C)*365</f>
        <v>1.1139361439391104</v>
      </c>
      <c r="M2" s="2">
        <f>STDEV(C:C)*SQRT(365)</f>
        <v>0.77998620822767417</v>
      </c>
      <c r="N2" s="3">
        <f>L2/M2</f>
        <v>1.4281485136387924</v>
      </c>
    </row>
    <row r="3" spans="1:14" x14ac:dyDescent="0.3">
      <c r="A3" s="1">
        <v>42553</v>
      </c>
      <c r="B3">
        <v>703.70202600000005</v>
      </c>
      <c r="C3" s="2">
        <f>B3/B2-1</f>
        <v>4.052368215840807E-2</v>
      </c>
      <c r="G3" s="2">
        <f>(1+C3)*G2</f>
        <v>1.0405236821584081</v>
      </c>
      <c r="H3" s="2">
        <f>(1+F3)*H2</f>
        <v>1</v>
      </c>
      <c r="J3" t="s">
        <v>7</v>
      </c>
      <c r="K3" s="2">
        <f>SUM(F:F)</f>
        <v>6.2029154694529032</v>
      </c>
      <c r="L3" s="2">
        <f>AVERAGE(F:F)*365</f>
        <v>1.2606147808186581</v>
      </c>
      <c r="M3" s="2">
        <f>STDEV(F:F)*SQRT(365)</f>
        <v>0.54958371624124924</v>
      </c>
      <c r="N3" s="3">
        <f>L3/M3</f>
        <v>2.2937629765312941</v>
      </c>
    </row>
    <row r="4" spans="1:14" x14ac:dyDescent="0.3">
      <c r="A4" s="1">
        <v>42554</v>
      </c>
      <c r="B4">
        <v>658.66400099999998</v>
      </c>
      <c r="C4" s="2">
        <f t="shared" ref="C4:C67" si="0">B4/B3-1</f>
        <v>-6.4001556533816339E-2</v>
      </c>
      <c r="G4" s="2">
        <f t="shared" ref="G4:G67" si="1">(1+C4)*G3</f>
        <v>0.97392854688997199</v>
      </c>
      <c r="H4" s="2">
        <f t="shared" ref="H4:H67" si="2">(1+F4)*H3</f>
        <v>1</v>
      </c>
    </row>
    <row r="5" spans="1:14" x14ac:dyDescent="0.3">
      <c r="A5" s="1">
        <v>42555</v>
      </c>
      <c r="B5">
        <v>683.66198699999995</v>
      </c>
      <c r="C5" s="2">
        <f t="shared" si="0"/>
        <v>3.7952561491211512E-2</v>
      </c>
      <c r="G5" s="2">
        <f t="shared" si="1"/>
        <v>1.0108916299538599</v>
      </c>
      <c r="H5" s="2">
        <f t="shared" si="2"/>
        <v>1</v>
      </c>
    </row>
    <row r="6" spans="1:14" x14ac:dyDescent="0.3">
      <c r="A6" s="1">
        <v>42556</v>
      </c>
      <c r="B6">
        <v>670.62701400000003</v>
      </c>
      <c r="C6" s="2">
        <f t="shared" si="0"/>
        <v>-1.9066400133199046E-2</v>
      </c>
      <c r="D6">
        <f>AVERAGE(B2:B6)</f>
        <v>678.59020980000003</v>
      </c>
      <c r="E6">
        <f>IF(B6&gt;D6,1,0)</f>
        <v>0</v>
      </c>
      <c r="G6" s="2">
        <f t="shared" si="1"/>
        <v>0.9916175656458579</v>
      </c>
      <c r="H6" s="2">
        <f t="shared" si="2"/>
        <v>1</v>
      </c>
    </row>
    <row r="7" spans="1:14" x14ac:dyDescent="0.3">
      <c r="A7" s="1">
        <v>42557</v>
      </c>
      <c r="B7">
        <v>677.33099400000003</v>
      </c>
      <c r="C7" s="2">
        <f t="shared" si="0"/>
        <v>9.9965850764252018E-3</v>
      </c>
      <c r="D7">
        <f t="shared" ref="D7:D70" si="3">AVERAGE(B3:B7)</f>
        <v>678.79720440000006</v>
      </c>
      <c r="E7">
        <f t="shared" ref="E7:E70" si="4">IF(B7&gt;D7,1,0)</f>
        <v>0</v>
      </c>
      <c r="F7" s="2">
        <f>E6*C7</f>
        <v>0</v>
      </c>
      <c r="G7" s="2">
        <f t="shared" si="1"/>
        <v>1.0015303550041144</v>
      </c>
      <c r="H7" s="2">
        <f t="shared" si="2"/>
        <v>1</v>
      </c>
    </row>
    <row r="8" spans="1:14" x14ac:dyDescent="0.3">
      <c r="A8" s="1">
        <v>42558</v>
      </c>
      <c r="B8">
        <v>640.56201199999998</v>
      </c>
      <c r="C8" s="2">
        <f t="shared" si="0"/>
        <v>-5.428510185671509E-2</v>
      </c>
      <c r="D8">
        <f t="shared" si="3"/>
        <v>666.16920159999995</v>
      </c>
      <c r="E8">
        <f t="shared" si="4"/>
        <v>0</v>
      </c>
      <c r="F8" s="2">
        <f t="shared" ref="F8:F71" si="5">E7*C8</f>
        <v>0</v>
      </c>
      <c r="G8" s="2">
        <f t="shared" si="1"/>
        <v>0.94716217767012401</v>
      </c>
      <c r="H8" s="2">
        <f t="shared" si="2"/>
        <v>1</v>
      </c>
    </row>
    <row r="9" spans="1:14" x14ac:dyDescent="0.3">
      <c r="A9" s="1">
        <v>42559</v>
      </c>
      <c r="B9">
        <v>666.52301</v>
      </c>
      <c r="C9" s="2">
        <f t="shared" si="0"/>
        <v>4.0528469552765234E-2</v>
      </c>
      <c r="D9">
        <f t="shared" si="3"/>
        <v>667.74100339999995</v>
      </c>
      <c r="E9">
        <f t="shared" si="4"/>
        <v>0</v>
      </c>
      <c r="F9" s="2">
        <f t="shared" si="5"/>
        <v>0</v>
      </c>
      <c r="G9" s="2">
        <f t="shared" si="1"/>
        <v>0.98554921114935845</v>
      </c>
      <c r="H9" s="2">
        <f t="shared" si="2"/>
        <v>1</v>
      </c>
    </row>
    <row r="10" spans="1:14" x14ac:dyDescent="0.3">
      <c r="A10" s="1">
        <v>42560</v>
      </c>
      <c r="B10">
        <v>650.96002199999998</v>
      </c>
      <c r="C10" s="2">
        <f t="shared" si="0"/>
        <v>-2.3349513469910099E-2</v>
      </c>
      <c r="D10">
        <f t="shared" si="3"/>
        <v>661.20061039999996</v>
      </c>
      <c r="E10">
        <f t="shared" si="4"/>
        <v>0</v>
      </c>
      <c r="F10" s="2">
        <f t="shared" si="5"/>
        <v>0</v>
      </c>
      <c r="G10" s="2">
        <f t="shared" si="1"/>
        <v>0.96253711656836727</v>
      </c>
      <c r="H10" s="2">
        <f t="shared" si="2"/>
        <v>1</v>
      </c>
    </row>
    <row r="11" spans="1:14" x14ac:dyDescent="0.3">
      <c r="A11" s="1">
        <v>42561</v>
      </c>
      <c r="B11">
        <v>649.35998500000005</v>
      </c>
      <c r="C11" s="2">
        <f t="shared" si="0"/>
        <v>-2.4579650760794269E-3</v>
      </c>
      <c r="D11">
        <f t="shared" si="3"/>
        <v>656.94720460000008</v>
      </c>
      <c r="E11">
        <f t="shared" si="4"/>
        <v>0</v>
      </c>
      <c r="F11" s="2">
        <f t="shared" si="5"/>
        <v>0</v>
      </c>
      <c r="G11" s="2">
        <f t="shared" si="1"/>
        <v>0.96017123395141202</v>
      </c>
      <c r="H11" s="2">
        <f t="shared" si="2"/>
        <v>1</v>
      </c>
    </row>
    <row r="12" spans="1:14" x14ac:dyDescent="0.3">
      <c r="A12" s="1">
        <v>42562</v>
      </c>
      <c r="B12">
        <v>647.658997</v>
      </c>
      <c r="C12" s="2">
        <f t="shared" si="0"/>
        <v>-2.6194838599425951E-3</v>
      </c>
      <c r="D12">
        <f t="shared" si="3"/>
        <v>651.0128052</v>
      </c>
      <c r="E12">
        <f t="shared" si="4"/>
        <v>0</v>
      </c>
      <c r="F12" s="2">
        <f t="shared" si="5"/>
        <v>0</v>
      </c>
      <c r="G12" s="2">
        <f t="shared" si="1"/>
        <v>0.95765608090129517</v>
      </c>
      <c r="H12" s="2">
        <f t="shared" si="2"/>
        <v>1</v>
      </c>
    </row>
    <row r="13" spans="1:14" x14ac:dyDescent="0.3">
      <c r="A13" s="1">
        <v>42563</v>
      </c>
      <c r="B13">
        <v>664.55102499999998</v>
      </c>
      <c r="C13" s="2">
        <f t="shared" si="0"/>
        <v>2.6081669641346839E-2</v>
      </c>
      <c r="D13">
        <f t="shared" si="3"/>
        <v>655.81060780000007</v>
      </c>
      <c r="E13">
        <f t="shared" si="4"/>
        <v>1</v>
      </c>
      <c r="F13" s="2">
        <f t="shared" si="5"/>
        <v>0</v>
      </c>
      <c r="G13" s="2">
        <f t="shared" si="1"/>
        <v>0.98263335043338962</v>
      </c>
      <c r="H13" s="2">
        <f t="shared" si="2"/>
        <v>1</v>
      </c>
    </row>
    <row r="14" spans="1:14" x14ac:dyDescent="0.3">
      <c r="A14" s="1">
        <v>42564</v>
      </c>
      <c r="B14">
        <v>654.46801800000003</v>
      </c>
      <c r="C14" s="2">
        <f t="shared" si="0"/>
        <v>-1.5172660368705237E-2</v>
      </c>
      <c r="D14">
        <f t="shared" si="3"/>
        <v>653.39960940000003</v>
      </c>
      <c r="E14">
        <f t="shared" si="4"/>
        <v>1</v>
      </c>
      <c r="F14" s="2">
        <f t="shared" si="5"/>
        <v>-1.5172660368705237E-2</v>
      </c>
      <c r="G14" s="2">
        <f t="shared" si="1"/>
        <v>0.96772418834030083</v>
      </c>
      <c r="H14" s="2">
        <f t="shared" si="2"/>
        <v>0.98482733963129476</v>
      </c>
    </row>
    <row r="15" spans="1:14" x14ac:dyDescent="0.3">
      <c r="A15" s="1">
        <v>42565</v>
      </c>
      <c r="B15">
        <v>658.07800299999997</v>
      </c>
      <c r="C15" s="2">
        <f t="shared" si="0"/>
        <v>5.5159074251356355E-3</v>
      </c>
      <c r="D15">
        <f t="shared" si="3"/>
        <v>654.82320559999994</v>
      </c>
      <c r="E15">
        <f t="shared" si="4"/>
        <v>1</v>
      </c>
      <c r="F15" s="2">
        <f t="shared" si="5"/>
        <v>5.5159074251356355E-3</v>
      </c>
      <c r="G15" s="2">
        <f t="shared" si="1"/>
        <v>0.9730620653762504</v>
      </c>
      <c r="H15" s="2">
        <f t="shared" si="2"/>
        <v>0.99025955606644356</v>
      </c>
    </row>
    <row r="16" spans="1:14" x14ac:dyDescent="0.3">
      <c r="A16" s="1">
        <v>42566</v>
      </c>
      <c r="B16">
        <v>663.25500499999998</v>
      </c>
      <c r="C16" s="2">
        <f t="shared" si="0"/>
        <v>7.8668516139415168E-3</v>
      </c>
      <c r="D16">
        <f t="shared" si="3"/>
        <v>657.60220959999992</v>
      </c>
      <c r="E16">
        <f t="shared" si="4"/>
        <v>1</v>
      </c>
      <c r="F16" s="2">
        <f t="shared" si="5"/>
        <v>7.8668516139415168E-3</v>
      </c>
      <c r="G16" s="2">
        <f t="shared" si="1"/>
        <v>0.98071700025572084</v>
      </c>
      <c r="H16" s="2">
        <f t="shared" si="2"/>
        <v>0.99804978105330588</v>
      </c>
      <c r="L16" t="s">
        <v>14</v>
      </c>
    </row>
    <row r="17" spans="1:8" x14ac:dyDescent="0.3">
      <c r="A17" s="1">
        <v>42567</v>
      </c>
      <c r="B17">
        <v>660.76702899999998</v>
      </c>
      <c r="C17" s="2">
        <f t="shared" si="0"/>
        <v>-3.7511605359088485E-3</v>
      </c>
      <c r="D17">
        <f t="shared" si="3"/>
        <v>660.22381599999994</v>
      </c>
      <c r="E17">
        <f t="shared" si="4"/>
        <v>1</v>
      </c>
      <c r="F17" s="2">
        <f t="shared" si="5"/>
        <v>-3.7511605359088485E-3</v>
      </c>
      <c r="G17" s="2">
        <f t="shared" si="1"/>
        <v>0.97703817334746668</v>
      </c>
      <c r="H17" s="2">
        <f t="shared" si="2"/>
        <v>0.99430593610174622</v>
      </c>
    </row>
    <row r="18" spans="1:8" x14ac:dyDescent="0.3">
      <c r="A18" s="1">
        <v>42568</v>
      </c>
      <c r="B18">
        <v>679.45898399999999</v>
      </c>
      <c r="C18" s="2">
        <f t="shared" si="0"/>
        <v>2.8288268299779151E-2</v>
      </c>
      <c r="D18">
        <f t="shared" si="3"/>
        <v>663.20540779999999</v>
      </c>
      <c r="E18">
        <f t="shared" si="4"/>
        <v>1</v>
      </c>
      <c r="F18" s="2">
        <f t="shared" si="5"/>
        <v>2.8288268299779151E-2</v>
      </c>
      <c r="G18" s="2">
        <f t="shared" si="1"/>
        <v>1.0046768913342459</v>
      </c>
      <c r="H18" s="2">
        <f t="shared" si="2"/>
        <v>1.0224331291942554</v>
      </c>
    </row>
    <row r="19" spans="1:8" x14ac:dyDescent="0.3">
      <c r="A19" s="1">
        <v>42569</v>
      </c>
      <c r="B19">
        <v>673.10601799999995</v>
      </c>
      <c r="C19" s="2">
        <f t="shared" si="0"/>
        <v>-9.3500360575113906E-3</v>
      </c>
      <c r="D19">
        <f t="shared" si="3"/>
        <v>666.93300780000004</v>
      </c>
      <c r="E19">
        <f t="shared" si="4"/>
        <v>1</v>
      </c>
      <c r="F19" s="2">
        <f t="shared" si="5"/>
        <v>-9.3500360575113906E-3</v>
      </c>
      <c r="G19" s="2">
        <f t="shared" si="1"/>
        <v>0.99528312617412218</v>
      </c>
      <c r="H19" s="2">
        <f t="shared" si="2"/>
        <v>1.012873342569895</v>
      </c>
    </row>
    <row r="20" spans="1:8" x14ac:dyDescent="0.3">
      <c r="A20" s="1">
        <v>42570</v>
      </c>
      <c r="B20">
        <v>672.864014</v>
      </c>
      <c r="C20" s="2">
        <f t="shared" si="0"/>
        <v>-3.5953325854820584E-4</v>
      </c>
      <c r="D20">
        <f t="shared" si="3"/>
        <v>669.89020999999991</v>
      </c>
      <c r="E20">
        <f t="shared" si="4"/>
        <v>1</v>
      </c>
      <c r="F20" s="2">
        <f t="shared" si="5"/>
        <v>-3.5953325854820584E-4</v>
      </c>
      <c r="G20" s="2">
        <f t="shared" si="1"/>
        <v>0.99492528878859077</v>
      </c>
      <c r="H20" s="2">
        <f t="shared" si="2"/>
        <v>1.0125091809165443</v>
      </c>
    </row>
    <row r="21" spans="1:8" x14ac:dyDescent="0.3">
      <c r="A21" s="1">
        <v>42571</v>
      </c>
      <c r="B21">
        <v>665.68499799999995</v>
      </c>
      <c r="C21" s="2">
        <f t="shared" si="0"/>
        <v>-1.066934157664734E-2</v>
      </c>
      <c r="D21">
        <f t="shared" si="3"/>
        <v>670.37620859999993</v>
      </c>
      <c r="E21">
        <f t="shared" si="4"/>
        <v>0</v>
      </c>
      <c r="F21" s="2">
        <f t="shared" si="5"/>
        <v>-1.066934157664734E-2</v>
      </c>
      <c r="G21" s="2">
        <f t="shared" si="1"/>
        <v>0.98431009103926081</v>
      </c>
      <c r="H21" s="2">
        <f t="shared" si="2"/>
        <v>1.0017063746158543</v>
      </c>
    </row>
    <row r="22" spans="1:8" x14ac:dyDescent="0.3">
      <c r="A22" s="1">
        <v>42572</v>
      </c>
      <c r="B22">
        <v>665.012024</v>
      </c>
      <c r="C22" s="2">
        <f t="shared" si="0"/>
        <v>-1.0109496263576156E-3</v>
      </c>
      <c r="D22">
        <f t="shared" si="3"/>
        <v>671.22520759999998</v>
      </c>
      <c r="E22">
        <f t="shared" si="4"/>
        <v>0</v>
      </c>
      <c r="F22" s="2">
        <f t="shared" si="5"/>
        <v>0</v>
      </c>
      <c r="G22" s="2">
        <f t="shared" si="1"/>
        <v>0.98331500312050468</v>
      </c>
      <c r="H22" s="2">
        <f t="shared" si="2"/>
        <v>1.0017063746158543</v>
      </c>
    </row>
    <row r="23" spans="1:8" x14ac:dyDescent="0.3">
      <c r="A23" s="1">
        <v>42573</v>
      </c>
      <c r="B23">
        <v>650.61901899999998</v>
      </c>
      <c r="C23" s="2">
        <f t="shared" si="0"/>
        <v>-2.164322520580475E-2</v>
      </c>
      <c r="D23">
        <f t="shared" si="3"/>
        <v>665.45721460000004</v>
      </c>
      <c r="E23">
        <f t="shared" si="4"/>
        <v>0</v>
      </c>
      <c r="F23" s="2">
        <f t="shared" si="5"/>
        <v>0</v>
      </c>
      <c r="G23" s="2">
        <f t="shared" si="1"/>
        <v>0.962032895059721</v>
      </c>
      <c r="H23" s="2">
        <f t="shared" si="2"/>
        <v>1.0017063746158543</v>
      </c>
    </row>
    <row r="24" spans="1:8" x14ac:dyDescent="0.3">
      <c r="A24" s="1">
        <v>42574</v>
      </c>
      <c r="B24">
        <v>655.55602999999996</v>
      </c>
      <c r="C24" s="2">
        <f t="shared" si="0"/>
        <v>7.588175039192846E-3</v>
      </c>
      <c r="D24">
        <f t="shared" si="3"/>
        <v>661.94721699999991</v>
      </c>
      <c r="E24">
        <f t="shared" si="4"/>
        <v>0</v>
      </c>
      <c r="F24" s="2">
        <f t="shared" si="5"/>
        <v>0</v>
      </c>
      <c r="G24" s="2">
        <f t="shared" si="1"/>
        <v>0.96933296906089561</v>
      </c>
      <c r="H24" s="2">
        <f t="shared" si="2"/>
        <v>1.0017063746158543</v>
      </c>
    </row>
    <row r="25" spans="1:8" x14ac:dyDescent="0.3">
      <c r="A25" s="1">
        <v>42575</v>
      </c>
      <c r="B25">
        <v>661.28497300000004</v>
      </c>
      <c r="C25" s="2">
        <f t="shared" si="0"/>
        <v>8.7390592685114843E-3</v>
      </c>
      <c r="D25">
        <f t="shared" si="3"/>
        <v>659.63140879999992</v>
      </c>
      <c r="E25">
        <f t="shared" si="4"/>
        <v>1</v>
      </c>
      <c r="F25" s="2">
        <f t="shared" si="5"/>
        <v>0</v>
      </c>
      <c r="G25" s="2">
        <f t="shared" si="1"/>
        <v>0.97780402732844096</v>
      </c>
      <c r="H25" s="2">
        <f t="shared" si="2"/>
        <v>1.0017063746158543</v>
      </c>
    </row>
    <row r="26" spans="1:8" x14ac:dyDescent="0.3">
      <c r="A26" s="1">
        <v>42576</v>
      </c>
      <c r="B26">
        <v>654.09698500000002</v>
      </c>
      <c r="C26" s="2">
        <f t="shared" si="0"/>
        <v>-1.08697283221042E-2</v>
      </c>
      <c r="D26">
        <f t="shared" si="3"/>
        <v>657.31380620000004</v>
      </c>
      <c r="E26">
        <f t="shared" si="4"/>
        <v>0</v>
      </c>
      <c r="F26" s="2">
        <f t="shared" si="5"/>
        <v>-1.08697283221042E-2</v>
      </c>
      <c r="G26" s="2">
        <f t="shared" si="1"/>
        <v>0.96717556319912146</v>
      </c>
      <c r="H26" s="2">
        <f t="shared" si="2"/>
        <v>0.99081809846526003</v>
      </c>
    </row>
    <row r="27" spans="1:8" x14ac:dyDescent="0.3">
      <c r="A27" s="1">
        <v>42577</v>
      </c>
      <c r="B27">
        <v>651.783997</v>
      </c>
      <c r="C27" s="2">
        <f t="shared" si="0"/>
        <v>-3.5361545046718179E-3</v>
      </c>
      <c r="D27">
        <f t="shared" si="3"/>
        <v>654.66820080000002</v>
      </c>
      <c r="E27">
        <f t="shared" si="4"/>
        <v>0</v>
      </c>
      <c r="F27" s="2">
        <f t="shared" si="5"/>
        <v>0</v>
      </c>
      <c r="G27" s="2">
        <f t="shared" si="1"/>
        <v>0.96375548097450636</v>
      </c>
      <c r="H27" s="2">
        <f t="shared" si="2"/>
        <v>0.99081809846526003</v>
      </c>
    </row>
    <row r="28" spans="1:8" x14ac:dyDescent="0.3">
      <c r="A28" s="1">
        <v>42578</v>
      </c>
      <c r="B28">
        <v>654.35199</v>
      </c>
      <c r="C28" s="2">
        <f t="shared" si="0"/>
        <v>3.9399448464825237E-3</v>
      </c>
      <c r="D28">
        <f t="shared" si="3"/>
        <v>655.41479500000003</v>
      </c>
      <c r="E28">
        <f t="shared" si="4"/>
        <v>0</v>
      </c>
      <c r="F28" s="2">
        <f t="shared" si="5"/>
        <v>0</v>
      </c>
      <c r="G28" s="2">
        <f t="shared" si="1"/>
        <v>0.9675526244150412</v>
      </c>
      <c r="H28" s="2">
        <f t="shared" si="2"/>
        <v>0.99081809846526003</v>
      </c>
    </row>
    <row r="29" spans="1:8" x14ac:dyDescent="0.3">
      <c r="A29" s="1">
        <v>42579</v>
      </c>
      <c r="B29">
        <v>655.03497300000004</v>
      </c>
      <c r="C29" s="2">
        <f t="shared" si="0"/>
        <v>1.0437547534623004E-3</v>
      </c>
      <c r="D29">
        <f t="shared" si="3"/>
        <v>655.31058360000009</v>
      </c>
      <c r="E29">
        <f t="shared" si="4"/>
        <v>0</v>
      </c>
      <c r="F29" s="2">
        <f t="shared" si="5"/>
        <v>0</v>
      </c>
      <c r="G29" s="2">
        <f t="shared" si="1"/>
        <v>0.9685625120659993</v>
      </c>
      <c r="H29" s="2">
        <f t="shared" si="2"/>
        <v>0.99081809846526003</v>
      </c>
    </row>
    <row r="30" spans="1:8" x14ac:dyDescent="0.3">
      <c r="A30" s="1">
        <v>42580</v>
      </c>
      <c r="B30">
        <v>656.99200399999995</v>
      </c>
      <c r="C30" s="2">
        <f t="shared" si="0"/>
        <v>2.9876740642365007E-3</v>
      </c>
      <c r="D30">
        <f t="shared" si="3"/>
        <v>654.45198980000009</v>
      </c>
      <c r="E30">
        <f t="shared" si="4"/>
        <v>1</v>
      </c>
      <c r="F30" s="2">
        <f t="shared" si="5"/>
        <v>0</v>
      </c>
      <c r="G30" s="2">
        <f t="shared" si="1"/>
        <v>0.97145626116289063</v>
      </c>
      <c r="H30" s="2">
        <f t="shared" si="2"/>
        <v>0.99081809846526003</v>
      </c>
    </row>
    <row r="31" spans="1:8" x14ac:dyDescent="0.3">
      <c r="A31" s="1">
        <v>42581</v>
      </c>
      <c r="B31">
        <v>655.04699700000003</v>
      </c>
      <c r="C31" s="2">
        <f t="shared" si="0"/>
        <v>-2.9604728644458955E-3</v>
      </c>
      <c r="D31">
        <f t="shared" si="3"/>
        <v>654.6419922</v>
      </c>
      <c r="E31">
        <f t="shared" si="4"/>
        <v>1</v>
      </c>
      <c r="F31" s="2">
        <f t="shared" si="5"/>
        <v>-2.9604728644458955E-3</v>
      </c>
      <c r="G31" s="2">
        <f t="shared" si="1"/>
        <v>0.96858029126272183</v>
      </c>
      <c r="H31" s="2">
        <f t="shared" si="2"/>
        <v>0.98788480837115178</v>
      </c>
    </row>
    <row r="32" spans="1:8" x14ac:dyDescent="0.3">
      <c r="A32" s="1">
        <v>42582</v>
      </c>
      <c r="B32">
        <v>624.68102999999996</v>
      </c>
      <c r="C32" s="2">
        <f t="shared" si="0"/>
        <v>-4.6356928799110353E-2</v>
      </c>
      <c r="D32">
        <f t="shared" si="3"/>
        <v>649.22139879999997</v>
      </c>
      <c r="E32">
        <f t="shared" si="4"/>
        <v>0</v>
      </c>
      <c r="F32" s="2">
        <f t="shared" si="5"/>
        <v>-4.6356928799110353E-2</v>
      </c>
      <c r="G32" s="2">
        <f t="shared" si="1"/>
        <v>0.92367988366443421</v>
      </c>
      <c r="H32" s="2">
        <f t="shared" si="2"/>
        <v>0.94208950264776747</v>
      </c>
    </row>
    <row r="33" spans="1:8" x14ac:dyDescent="0.3">
      <c r="A33" s="1">
        <v>42583</v>
      </c>
      <c r="B33">
        <v>606.271973</v>
      </c>
      <c r="C33" s="2">
        <f t="shared" si="0"/>
        <v>-2.9469531034102214E-2</v>
      </c>
      <c r="D33">
        <f t="shared" si="3"/>
        <v>639.60539539999991</v>
      </c>
      <c r="E33">
        <f t="shared" si="4"/>
        <v>0</v>
      </c>
      <c r="F33" s="2">
        <f t="shared" si="5"/>
        <v>0</v>
      </c>
      <c r="G33" s="2">
        <f t="shared" si="1"/>
        <v>0.89645947066720921</v>
      </c>
      <c r="H33" s="2">
        <f t="shared" si="2"/>
        <v>0.94208950264776747</v>
      </c>
    </row>
    <row r="34" spans="1:8" x14ac:dyDescent="0.3">
      <c r="A34" s="1">
        <v>42584</v>
      </c>
      <c r="B34">
        <v>547.46502699999996</v>
      </c>
      <c r="C34" s="2">
        <f t="shared" si="0"/>
        <v>-9.6997632447047066E-2</v>
      </c>
      <c r="D34">
        <f t="shared" si="3"/>
        <v>618.09140619999994</v>
      </c>
      <c r="E34">
        <f t="shared" si="4"/>
        <v>0</v>
      </c>
      <c r="F34" s="2">
        <f t="shared" si="5"/>
        <v>0</v>
      </c>
      <c r="G34" s="2">
        <f t="shared" si="1"/>
        <v>0.80950502442775685</v>
      </c>
      <c r="H34" s="2">
        <f t="shared" si="2"/>
        <v>0.94208950264776747</v>
      </c>
    </row>
    <row r="35" spans="1:8" x14ac:dyDescent="0.3">
      <c r="A35" s="1">
        <v>42585</v>
      </c>
      <c r="B35">
        <v>566.35497999999995</v>
      </c>
      <c r="C35" s="2">
        <f t="shared" si="0"/>
        <v>3.4504401319501943E-2</v>
      </c>
      <c r="D35">
        <f t="shared" si="3"/>
        <v>599.96400140000003</v>
      </c>
      <c r="E35">
        <f t="shared" si="4"/>
        <v>0</v>
      </c>
      <c r="F35" s="2">
        <f t="shared" si="5"/>
        <v>0</v>
      </c>
      <c r="G35" s="2">
        <f t="shared" si="1"/>
        <v>0.83743651066076541</v>
      </c>
      <c r="H35" s="2">
        <f t="shared" si="2"/>
        <v>0.94208950264776747</v>
      </c>
    </row>
    <row r="36" spans="1:8" x14ac:dyDescent="0.3">
      <c r="A36" s="1">
        <v>42586</v>
      </c>
      <c r="B36">
        <v>578.28900099999998</v>
      </c>
      <c r="C36" s="2">
        <f t="shared" si="0"/>
        <v>2.1071627197486675E-2</v>
      </c>
      <c r="D36">
        <f t="shared" si="3"/>
        <v>584.61240220000002</v>
      </c>
      <c r="E36">
        <f t="shared" si="4"/>
        <v>0</v>
      </c>
      <c r="F36" s="2">
        <f t="shared" si="5"/>
        <v>0</v>
      </c>
      <c r="G36" s="2">
        <f t="shared" si="1"/>
        <v>0.85508266061497318</v>
      </c>
      <c r="H36" s="2">
        <f t="shared" si="2"/>
        <v>0.94208950264776747</v>
      </c>
    </row>
    <row r="37" spans="1:8" x14ac:dyDescent="0.3">
      <c r="A37" s="1">
        <v>42587</v>
      </c>
      <c r="B37">
        <v>575.04303000000004</v>
      </c>
      <c r="C37" s="2">
        <f t="shared" si="0"/>
        <v>-5.6130602421745612E-3</v>
      </c>
      <c r="D37">
        <f t="shared" si="3"/>
        <v>574.68480220000004</v>
      </c>
      <c r="E37">
        <f t="shared" si="4"/>
        <v>1</v>
      </c>
      <c r="F37" s="2">
        <f t="shared" si="5"/>
        <v>0</v>
      </c>
      <c r="G37" s="2">
        <f t="shared" si="1"/>
        <v>0.85028303012890238</v>
      </c>
      <c r="H37" s="2">
        <f t="shared" si="2"/>
        <v>0.94208950264776747</v>
      </c>
    </row>
    <row r="38" spans="1:8" x14ac:dyDescent="0.3">
      <c r="A38" s="1">
        <v>42588</v>
      </c>
      <c r="B38">
        <v>587.77801499999998</v>
      </c>
      <c r="C38" s="2">
        <f t="shared" si="0"/>
        <v>2.2146142698225457E-2</v>
      </c>
      <c r="D38">
        <f t="shared" si="3"/>
        <v>570.98601059999999</v>
      </c>
      <c r="E38">
        <f t="shared" si="4"/>
        <v>1</v>
      </c>
      <c r="F38" s="2">
        <f t="shared" si="5"/>
        <v>2.2146142698225457E-2</v>
      </c>
      <c r="G38" s="2">
        <f t="shared" si="1"/>
        <v>0.86911351944801662</v>
      </c>
      <c r="H38" s="2">
        <f t="shared" si="2"/>
        <v>0.96295315120790514</v>
      </c>
    </row>
    <row r="39" spans="1:8" x14ac:dyDescent="0.3">
      <c r="A39" s="1">
        <v>42589</v>
      </c>
      <c r="B39">
        <v>592.69000200000005</v>
      </c>
      <c r="C39" s="2">
        <f t="shared" si="0"/>
        <v>8.3568743209969654E-3</v>
      </c>
      <c r="D39">
        <f t="shared" si="3"/>
        <v>580.03100560000007</v>
      </c>
      <c r="E39">
        <f t="shared" si="4"/>
        <v>1</v>
      </c>
      <c r="F39" s="2">
        <f t="shared" si="5"/>
        <v>8.3568743209969654E-3</v>
      </c>
      <c r="G39" s="2">
        <f t="shared" si="1"/>
        <v>0.87637659190072303</v>
      </c>
      <c r="H39" s="2">
        <f t="shared" si="2"/>
        <v>0.97100042966955757</v>
      </c>
    </row>
    <row r="40" spans="1:8" x14ac:dyDescent="0.3">
      <c r="A40" s="1">
        <v>42590</v>
      </c>
      <c r="B40">
        <v>591.05401600000005</v>
      </c>
      <c r="C40" s="2">
        <f t="shared" si="0"/>
        <v>-2.7602726458678672E-3</v>
      </c>
      <c r="D40">
        <f t="shared" si="3"/>
        <v>584.97081279999998</v>
      </c>
      <c r="E40">
        <f t="shared" si="4"/>
        <v>1</v>
      </c>
      <c r="F40" s="2">
        <f t="shared" si="5"/>
        <v>-2.7602726458678672E-3</v>
      </c>
      <c r="G40" s="2">
        <f t="shared" si="1"/>
        <v>0.87395755356662053</v>
      </c>
      <c r="H40" s="2">
        <f t="shared" si="2"/>
        <v>0.96832020374441474</v>
      </c>
    </row>
    <row r="41" spans="1:8" x14ac:dyDescent="0.3">
      <c r="A41" s="1">
        <v>42591</v>
      </c>
      <c r="B41">
        <v>587.80102499999998</v>
      </c>
      <c r="C41" s="2">
        <f t="shared" si="0"/>
        <v>-5.5037118637902838E-3</v>
      </c>
      <c r="D41">
        <f t="shared" si="3"/>
        <v>586.87321759999998</v>
      </c>
      <c r="E41">
        <f t="shared" si="4"/>
        <v>1</v>
      </c>
      <c r="F41" s="2">
        <f t="shared" si="5"/>
        <v>-5.5037118637902838E-3</v>
      </c>
      <c r="G41" s="2">
        <f t="shared" si="1"/>
        <v>0.86914754301060682</v>
      </c>
      <c r="H41" s="2">
        <f t="shared" si="2"/>
        <v>0.96299084835111881</v>
      </c>
    </row>
    <row r="42" spans="1:8" x14ac:dyDescent="0.3">
      <c r="A42" s="1">
        <v>42592</v>
      </c>
      <c r="B42">
        <v>592.103027</v>
      </c>
      <c r="C42" s="2">
        <f t="shared" si="0"/>
        <v>7.3188065638367661E-3</v>
      </c>
      <c r="D42">
        <f t="shared" si="3"/>
        <v>590.28521699999999</v>
      </c>
      <c r="E42">
        <f t="shared" si="4"/>
        <v>1</v>
      </c>
      <c r="F42" s="2">
        <f t="shared" si="5"/>
        <v>7.3188065638367661E-3</v>
      </c>
      <c r="G42" s="2">
        <f t="shared" si="1"/>
        <v>0.87550866575333541</v>
      </c>
      <c r="H42" s="2">
        <f t="shared" si="2"/>
        <v>0.97003879209294575</v>
      </c>
    </row>
    <row r="43" spans="1:8" x14ac:dyDescent="0.3">
      <c r="A43" s="1">
        <v>42593</v>
      </c>
      <c r="B43">
        <v>589.11999500000002</v>
      </c>
      <c r="C43" s="2">
        <f t="shared" si="0"/>
        <v>-5.0380286267308616E-3</v>
      </c>
      <c r="D43">
        <f t="shared" si="3"/>
        <v>590.55361300000004</v>
      </c>
      <c r="E43">
        <f t="shared" si="4"/>
        <v>0</v>
      </c>
      <c r="F43" s="2">
        <f t="shared" si="5"/>
        <v>-5.0380286267308616E-3</v>
      </c>
      <c r="G43" s="2">
        <f t="shared" si="1"/>
        <v>0.87109782803231917</v>
      </c>
      <c r="H43" s="2">
        <f t="shared" si="2"/>
        <v>0.9651517088893421</v>
      </c>
    </row>
    <row r="44" spans="1:8" x14ac:dyDescent="0.3">
      <c r="A44" s="1">
        <v>42594</v>
      </c>
      <c r="B44">
        <v>587.55902100000003</v>
      </c>
      <c r="C44" s="2">
        <f t="shared" si="0"/>
        <v>-2.6496707177626755E-3</v>
      </c>
      <c r="D44">
        <f t="shared" si="3"/>
        <v>589.52741679999997</v>
      </c>
      <c r="E44">
        <f t="shared" si="4"/>
        <v>0</v>
      </c>
      <c r="F44" s="2">
        <f t="shared" si="5"/>
        <v>0</v>
      </c>
      <c r="G44" s="2">
        <f t="shared" si="1"/>
        <v>0.86878970562507529</v>
      </c>
      <c r="H44" s="2">
        <f t="shared" si="2"/>
        <v>0.9651517088893421</v>
      </c>
    </row>
    <row r="45" spans="1:8" x14ac:dyDescent="0.3">
      <c r="A45" s="1">
        <v>42595</v>
      </c>
      <c r="B45">
        <v>585.58801300000005</v>
      </c>
      <c r="C45" s="2">
        <f t="shared" si="0"/>
        <v>-3.3545702296348123E-3</v>
      </c>
      <c r="D45">
        <f t="shared" si="3"/>
        <v>588.43421620000004</v>
      </c>
      <c r="E45">
        <f t="shared" si="4"/>
        <v>0</v>
      </c>
      <c r="F45" s="2">
        <f t="shared" si="5"/>
        <v>0</v>
      </c>
      <c r="G45" s="2">
        <f t="shared" si="1"/>
        <v>0.86587528954277226</v>
      </c>
      <c r="H45" s="2">
        <f t="shared" si="2"/>
        <v>0.9651517088893421</v>
      </c>
    </row>
    <row r="46" spans="1:8" x14ac:dyDescent="0.3">
      <c r="A46" s="1">
        <v>42596</v>
      </c>
      <c r="B46">
        <v>570.47302200000001</v>
      </c>
      <c r="C46" s="2">
        <f t="shared" si="0"/>
        <v>-2.581164686511439E-2</v>
      </c>
      <c r="D46">
        <f t="shared" si="3"/>
        <v>584.96861560000002</v>
      </c>
      <c r="E46">
        <f t="shared" si="4"/>
        <v>0</v>
      </c>
      <c r="F46" s="2">
        <f t="shared" si="5"/>
        <v>0</v>
      </c>
      <c r="G46" s="2">
        <f t="shared" si="1"/>
        <v>0.8435256223398655</v>
      </c>
      <c r="H46" s="2">
        <f t="shared" si="2"/>
        <v>0.9651517088893421</v>
      </c>
    </row>
    <row r="47" spans="1:8" x14ac:dyDescent="0.3">
      <c r="A47" s="1">
        <v>42597</v>
      </c>
      <c r="B47">
        <v>567.23999000000003</v>
      </c>
      <c r="C47" s="2">
        <f t="shared" si="0"/>
        <v>-5.6672828956317867E-3</v>
      </c>
      <c r="D47">
        <f t="shared" si="3"/>
        <v>579.99600820000001</v>
      </c>
      <c r="E47">
        <f t="shared" si="4"/>
        <v>0</v>
      </c>
      <c r="F47" s="2">
        <f t="shared" si="5"/>
        <v>0</v>
      </c>
      <c r="G47" s="2">
        <f t="shared" si="1"/>
        <v>0.83874512400835166</v>
      </c>
      <c r="H47" s="2">
        <f t="shared" si="2"/>
        <v>0.9651517088893421</v>
      </c>
    </row>
    <row r="48" spans="1:8" x14ac:dyDescent="0.3">
      <c r="A48" s="1">
        <v>42598</v>
      </c>
      <c r="B48">
        <v>577.43902600000001</v>
      </c>
      <c r="C48" s="2">
        <f t="shared" si="0"/>
        <v>1.7980107502646225E-2</v>
      </c>
      <c r="D48">
        <f t="shared" si="3"/>
        <v>577.65981440000007</v>
      </c>
      <c r="E48">
        <f t="shared" si="4"/>
        <v>0</v>
      </c>
      <c r="F48" s="2">
        <f t="shared" si="5"/>
        <v>0</v>
      </c>
      <c r="G48" s="2">
        <f t="shared" si="1"/>
        <v>0.85382585150534218</v>
      </c>
      <c r="H48" s="2">
        <f t="shared" si="2"/>
        <v>0.9651517088893421</v>
      </c>
    </row>
    <row r="49" spans="1:8" x14ac:dyDescent="0.3">
      <c r="A49" s="1">
        <v>42599</v>
      </c>
      <c r="B49">
        <v>573.216003</v>
      </c>
      <c r="C49" s="2">
        <f t="shared" si="0"/>
        <v>-7.3133661042161791E-3</v>
      </c>
      <c r="D49">
        <f t="shared" si="3"/>
        <v>574.79121080000004</v>
      </c>
      <c r="E49">
        <f t="shared" si="4"/>
        <v>0</v>
      </c>
      <c r="F49" s="2">
        <f t="shared" si="5"/>
        <v>0</v>
      </c>
      <c r="G49" s="2">
        <f t="shared" si="1"/>
        <v>0.84758151046403951</v>
      </c>
      <c r="H49" s="2">
        <f t="shared" si="2"/>
        <v>0.9651517088893421</v>
      </c>
    </row>
    <row r="50" spans="1:8" x14ac:dyDescent="0.3">
      <c r="A50" s="1">
        <v>42600</v>
      </c>
      <c r="B50">
        <v>574.317993</v>
      </c>
      <c r="C50" s="2">
        <f t="shared" si="0"/>
        <v>1.9224690068535555E-3</v>
      </c>
      <c r="D50">
        <f t="shared" si="3"/>
        <v>572.53720680000004</v>
      </c>
      <c r="E50">
        <f t="shared" si="4"/>
        <v>1</v>
      </c>
      <c r="F50" s="2">
        <f t="shared" si="5"/>
        <v>0</v>
      </c>
      <c r="G50" s="2">
        <f t="shared" si="1"/>
        <v>0.84921095964868876</v>
      </c>
      <c r="H50" s="2">
        <f t="shared" si="2"/>
        <v>0.9651517088893421</v>
      </c>
    </row>
    <row r="51" spans="1:8" x14ac:dyDescent="0.3">
      <c r="A51" s="1">
        <v>42601</v>
      </c>
      <c r="B51">
        <v>575.63000499999998</v>
      </c>
      <c r="C51" s="2">
        <f t="shared" si="0"/>
        <v>2.2844696074149073E-3</v>
      </c>
      <c r="D51">
        <f t="shared" si="3"/>
        <v>573.56860340000003</v>
      </c>
      <c r="E51">
        <f t="shared" si="4"/>
        <v>1</v>
      </c>
      <c r="F51" s="2">
        <f t="shared" si="5"/>
        <v>2.2844696074149073E-3</v>
      </c>
      <c r="G51" s="2">
        <f t="shared" si="1"/>
        <v>0.85115095627628978</v>
      </c>
      <c r="H51" s="2">
        <f t="shared" si="2"/>
        <v>0.96735656863484432</v>
      </c>
    </row>
    <row r="52" spans="1:8" x14ac:dyDescent="0.3">
      <c r="A52" s="1">
        <v>42602</v>
      </c>
      <c r="B52">
        <v>581.69702099999995</v>
      </c>
      <c r="C52" s="2">
        <f t="shared" si="0"/>
        <v>1.0539784144851794E-2</v>
      </c>
      <c r="D52">
        <f t="shared" si="3"/>
        <v>576.46000960000003</v>
      </c>
      <c r="E52">
        <f t="shared" si="4"/>
        <v>1</v>
      </c>
      <c r="F52" s="2">
        <f t="shared" si="5"/>
        <v>1.0539784144851794E-2</v>
      </c>
      <c r="G52" s="2">
        <f t="shared" si="1"/>
        <v>0.86012190363012608</v>
      </c>
      <c r="H52" s="2">
        <f t="shared" si="2"/>
        <v>0.97755229805936006</v>
      </c>
    </row>
    <row r="53" spans="1:8" x14ac:dyDescent="0.3">
      <c r="A53" s="1">
        <v>42603</v>
      </c>
      <c r="B53">
        <v>581.30798300000004</v>
      </c>
      <c r="C53" s="2">
        <f t="shared" si="0"/>
        <v>-6.6879833651389831E-4</v>
      </c>
      <c r="D53">
        <f t="shared" si="3"/>
        <v>577.23380100000008</v>
      </c>
      <c r="E53">
        <f t="shared" si="4"/>
        <v>1</v>
      </c>
      <c r="F53" s="2">
        <f t="shared" si="5"/>
        <v>-6.6879833651389831E-4</v>
      </c>
      <c r="G53" s="2">
        <f t="shared" si="1"/>
        <v>0.85954665553177911</v>
      </c>
      <c r="H53" s="2">
        <f t="shared" si="2"/>
        <v>0.97689851270856265</v>
      </c>
    </row>
    <row r="54" spans="1:8" x14ac:dyDescent="0.3">
      <c r="A54" s="1">
        <v>42604</v>
      </c>
      <c r="B54">
        <v>586.75299099999995</v>
      </c>
      <c r="C54" s="2">
        <f t="shared" si="0"/>
        <v>9.3668213051185667E-3</v>
      </c>
      <c r="D54">
        <f t="shared" si="3"/>
        <v>579.94119860000001</v>
      </c>
      <c r="E54">
        <f t="shared" si="4"/>
        <v>1</v>
      </c>
      <c r="F54" s="2">
        <f t="shared" si="5"/>
        <v>9.3668213051185667E-3</v>
      </c>
      <c r="G54" s="2">
        <f t="shared" si="1"/>
        <v>0.86759787545755762</v>
      </c>
      <c r="H54" s="2">
        <f t="shared" si="2"/>
        <v>0.98604894651033981</v>
      </c>
    </row>
    <row r="55" spans="1:8" x14ac:dyDescent="0.3">
      <c r="A55" s="1">
        <v>42605</v>
      </c>
      <c r="B55">
        <v>583.41497800000002</v>
      </c>
      <c r="C55" s="2">
        <f t="shared" si="0"/>
        <v>-5.688957791780469E-3</v>
      </c>
      <c r="D55">
        <f t="shared" si="3"/>
        <v>581.76059559999999</v>
      </c>
      <c r="E55">
        <f t="shared" si="4"/>
        <v>1</v>
      </c>
      <c r="F55" s="2">
        <f t="shared" si="5"/>
        <v>-5.688957791780469E-3</v>
      </c>
      <c r="G55" s="2">
        <f t="shared" si="1"/>
        <v>0.8626621477638412</v>
      </c>
      <c r="H55" s="2">
        <f t="shared" si="2"/>
        <v>0.98043935567301288</v>
      </c>
    </row>
    <row r="56" spans="1:8" x14ac:dyDescent="0.3">
      <c r="A56" s="1">
        <v>42606</v>
      </c>
      <c r="B56">
        <v>580.182007</v>
      </c>
      <c r="C56" s="2">
        <f t="shared" si="0"/>
        <v>-5.5414604045356253E-3</v>
      </c>
      <c r="D56">
        <f t="shared" si="3"/>
        <v>582.67099599999995</v>
      </c>
      <c r="E56">
        <f t="shared" si="4"/>
        <v>0</v>
      </c>
      <c r="F56" s="2">
        <f t="shared" si="5"/>
        <v>-5.5414604045356253E-3</v>
      </c>
      <c r="G56" s="2">
        <f t="shared" si="1"/>
        <v>0.85788173962951619</v>
      </c>
      <c r="H56" s="2">
        <f t="shared" si="2"/>
        <v>0.97500628980450244</v>
      </c>
    </row>
    <row r="57" spans="1:8" x14ac:dyDescent="0.3">
      <c r="A57" s="1">
        <v>42607</v>
      </c>
      <c r="B57">
        <v>577.760986</v>
      </c>
      <c r="C57" s="2">
        <f t="shared" si="0"/>
        <v>-4.1728646714133122E-3</v>
      </c>
      <c r="D57">
        <f t="shared" si="3"/>
        <v>581.88378900000009</v>
      </c>
      <c r="E57">
        <f t="shared" si="4"/>
        <v>0</v>
      </c>
      <c r="F57" s="2">
        <f t="shared" si="5"/>
        <v>0</v>
      </c>
      <c r="G57" s="2">
        <f t="shared" si="1"/>
        <v>0.85430191522596555</v>
      </c>
      <c r="H57" s="2">
        <f t="shared" si="2"/>
        <v>0.97500628980450244</v>
      </c>
    </row>
    <row r="58" spans="1:8" x14ac:dyDescent="0.3">
      <c r="A58" s="1">
        <v>42608</v>
      </c>
      <c r="B58">
        <v>579.65100099999995</v>
      </c>
      <c r="C58" s="2">
        <f t="shared" si="0"/>
        <v>3.2712748797474323E-3</v>
      </c>
      <c r="D58">
        <f t="shared" si="3"/>
        <v>581.55239259999996</v>
      </c>
      <c r="E58">
        <f t="shared" si="4"/>
        <v>0</v>
      </c>
      <c r="F58" s="2">
        <f t="shared" si="5"/>
        <v>0</v>
      </c>
      <c r="G58" s="2">
        <f t="shared" si="1"/>
        <v>0.85709657162096442</v>
      </c>
      <c r="H58" s="2">
        <f t="shared" si="2"/>
        <v>0.97500628980450244</v>
      </c>
    </row>
    <row r="59" spans="1:8" x14ac:dyDescent="0.3">
      <c r="A59" s="1">
        <v>42609</v>
      </c>
      <c r="B59">
        <v>569.94702099999995</v>
      </c>
      <c r="C59" s="2">
        <f t="shared" si="0"/>
        <v>-1.6741073479143331E-2</v>
      </c>
      <c r="D59">
        <f t="shared" si="3"/>
        <v>578.19119860000001</v>
      </c>
      <c r="E59">
        <f t="shared" si="4"/>
        <v>0</v>
      </c>
      <c r="F59" s="2">
        <f t="shared" si="5"/>
        <v>0</v>
      </c>
      <c r="G59" s="2">
        <f t="shared" si="1"/>
        <v>0.84274785493673599</v>
      </c>
      <c r="H59" s="2">
        <f t="shared" si="2"/>
        <v>0.97500628980450244</v>
      </c>
    </row>
    <row r="60" spans="1:8" x14ac:dyDescent="0.3">
      <c r="A60" s="1">
        <v>42610</v>
      </c>
      <c r="B60">
        <v>573.91198699999995</v>
      </c>
      <c r="C60" s="2">
        <f t="shared" si="0"/>
        <v>6.9567272990449514E-3</v>
      </c>
      <c r="D60">
        <f t="shared" si="3"/>
        <v>576.2906003999999</v>
      </c>
      <c r="E60">
        <f t="shared" si="4"/>
        <v>0</v>
      </c>
      <c r="F60" s="2">
        <f t="shared" si="5"/>
        <v>0</v>
      </c>
      <c r="G60" s="2">
        <f t="shared" si="1"/>
        <v>0.84861062194538595</v>
      </c>
      <c r="H60" s="2">
        <f t="shared" si="2"/>
        <v>0.97500628980450244</v>
      </c>
    </row>
    <row r="61" spans="1:8" x14ac:dyDescent="0.3">
      <c r="A61" s="1">
        <v>42611</v>
      </c>
      <c r="B61">
        <v>574.10699499999998</v>
      </c>
      <c r="C61" s="2">
        <f t="shared" si="0"/>
        <v>3.3978729215844439E-4</v>
      </c>
      <c r="D61">
        <f t="shared" si="3"/>
        <v>575.07559800000001</v>
      </c>
      <c r="E61">
        <f t="shared" si="4"/>
        <v>0</v>
      </c>
      <c r="F61" s="2">
        <f t="shared" si="5"/>
        <v>0</v>
      </c>
      <c r="G61" s="2">
        <f t="shared" si="1"/>
        <v>0.84889896905071371</v>
      </c>
      <c r="H61" s="2">
        <f t="shared" si="2"/>
        <v>0.97500628980450244</v>
      </c>
    </row>
    <row r="62" spans="1:8" x14ac:dyDescent="0.3">
      <c r="A62" s="1">
        <v>42612</v>
      </c>
      <c r="B62">
        <v>577.50299099999995</v>
      </c>
      <c r="C62" s="2">
        <f t="shared" si="0"/>
        <v>5.9152667178352658E-3</v>
      </c>
      <c r="D62">
        <f t="shared" si="3"/>
        <v>575.02399899999989</v>
      </c>
      <c r="E62">
        <f t="shared" si="4"/>
        <v>1</v>
      </c>
      <c r="F62" s="2">
        <f t="shared" si="5"/>
        <v>0</v>
      </c>
      <c r="G62" s="2">
        <f t="shared" si="1"/>
        <v>0.8539204328691441</v>
      </c>
      <c r="H62" s="2">
        <f t="shared" si="2"/>
        <v>0.97500628980450244</v>
      </c>
    </row>
    <row r="63" spans="1:8" x14ac:dyDescent="0.3">
      <c r="A63" s="1">
        <v>42613</v>
      </c>
      <c r="B63">
        <v>575.47198500000002</v>
      </c>
      <c r="C63" s="2">
        <f t="shared" si="0"/>
        <v>-3.5168752918197654E-3</v>
      </c>
      <c r="D63">
        <f t="shared" si="3"/>
        <v>574.18819580000002</v>
      </c>
      <c r="E63">
        <f t="shared" si="4"/>
        <v>1</v>
      </c>
      <c r="F63" s="2">
        <f t="shared" si="5"/>
        <v>-3.5168752918197654E-3</v>
      </c>
      <c r="G63" s="2">
        <f t="shared" si="1"/>
        <v>0.85091730119760656</v>
      </c>
      <c r="H63" s="2">
        <f t="shared" si="2"/>
        <v>0.9715773142745201</v>
      </c>
    </row>
    <row r="64" spans="1:8" x14ac:dyDescent="0.3">
      <c r="A64" s="1">
        <v>42614</v>
      </c>
      <c r="B64">
        <v>572.30297900000005</v>
      </c>
      <c r="C64" s="2">
        <f t="shared" si="0"/>
        <v>-5.5067945662028439E-3</v>
      </c>
      <c r="D64">
        <f t="shared" si="3"/>
        <v>574.65938740000001</v>
      </c>
      <c r="E64">
        <f t="shared" si="4"/>
        <v>0</v>
      </c>
      <c r="F64" s="2">
        <f t="shared" si="5"/>
        <v>-5.5067945662028439E-3</v>
      </c>
      <c r="G64" s="2">
        <f t="shared" si="1"/>
        <v>0.84623147442708357</v>
      </c>
      <c r="H64" s="2">
        <f t="shared" si="2"/>
        <v>0.96622703759962725</v>
      </c>
    </row>
    <row r="65" spans="1:8" x14ac:dyDescent="0.3">
      <c r="A65" s="1">
        <v>42615</v>
      </c>
      <c r="B65">
        <v>575.53698699999995</v>
      </c>
      <c r="C65" s="2">
        <f t="shared" si="0"/>
        <v>5.6508669684907087E-3</v>
      </c>
      <c r="D65">
        <f t="shared" si="3"/>
        <v>574.98438740000006</v>
      </c>
      <c r="E65">
        <f t="shared" si="4"/>
        <v>1</v>
      </c>
      <c r="F65" s="2">
        <f t="shared" si="5"/>
        <v>0</v>
      </c>
      <c r="G65" s="2">
        <f t="shared" si="1"/>
        <v>0.85101341591362079</v>
      </c>
      <c r="H65" s="2">
        <f t="shared" si="2"/>
        <v>0.96622703759962725</v>
      </c>
    </row>
    <row r="66" spans="1:8" x14ac:dyDescent="0.3">
      <c r="A66" s="1">
        <v>42616</v>
      </c>
      <c r="B66">
        <v>598.21197500000005</v>
      </c>
      <c r="C66" s="2">
        <f t="shared" si="0"/>
        <v>3.9397968353335644E-2</v>
      </c>
      <c r="D66">
        <f t="shared" si="3"/>
        <v>579.80538339999998</v>
      </c>
      <c r="E66">
        <f t="shared" si="4"/>
        <v>1</v>
      </c>
      <c r="F66" s="2">
        <f t="shared" si="5"/>
        <v>3.9397968353335644E-2</v>
      </c>
      <c r="G66" s="2">
        <f t="shared" si="1"/>
        <v>0.88454161554204969</v>
      </c>
      <c r="H66" s="2">
        <f t="shared" si="2"/>
        <v>1.0042944198491146</v>
      </c>
    </row>
    <row r="67" spans="1:8" x14ac:dyDescent="0.3">
      <c r="A67" s="1">
        <v>42617</v>
      </c>
      <c r="B67">
        <v>608.63397199999997</v>
      </c>
      <c r="C67" s="2">
        <f t="shared" si="0"/>
        <v>1.7421913026732572E-2</v>
      </c>
      <c r="D67">
        <f t="shared" si="3"/>
        <v>586.0315796000001</v>
      </c>
      <c r="E67">
        <f t="shared" si="4"/>
        <v>1</v>
      </c>
      <c r="F67" s="2">
        <f t="shared" si="5"/>
        <v>1.7421913026732572E-2</v>
      </c>
      <c r="G67" s="2">
        <f t="shared" si="1"/>
        <v>0.89995202263654883</v>
      </c>
      <c r="H67" s="2">
        <f t="shared" si="2"/>
        <v>1.0217911498849588</v>
      </c>
    </row>
    <row r="68" spans="1:8" x14ac:dyDescent="0.3">
      <c r="A68" s="1">
        <v>42618</v>
      </c>
      <c r="B68">
        <v>606.59002699999996</v>
      </c>
      <c r="C68" s="2">
        <f t="shared" ref="C68:C131" si="6">B68/B67-1</f>
        <v>-3.3582499400806043E-3</v>
      </c>
      <c r="D68">
        <f t="shared" si="3"/>
        <v>592.25518800000009</v>
      </c>
      <c r="E68">
        <f t="shared" si="4"/>
        <v>1</v>
      </c>
      <c r="F68" s="2">
        <f t="shared" si="5"/>
        <v>-3.3582499400806043E-3</v>
      </c>
      <c r="G68" s="2">
        <f t="shared" ref="G68:G131" si="7">(1+C68)*G67</f>
        <v>0.89692975881045423</v>
      </c>
      <c r="H68" s="2">
        <f t="shared" ref="H68:H131" si="8">(1+F68)*H67</f>
        <v>1.0183597198170826</v>
      </c>
    </row>
    <row r="69" spans="1:8" x14ac:dyDescent="0.3">
      <c r="A69" s="1">
        <v>42619</v>
      </c>
      <c r="B69">
        <v>610.43597399999999</v>
      </c>
      <c r="C69" s="2">
        <f t="shared" si="6"/>
        <v>6.340274038168392E-3</v>
      </c>
      <c r="D69">
        <f t="shared" si="3"/>
        <v>599.88178700000003</v>
      </c>
      <c r="E69">
        <f t="shared" si="4"/>
        <v>1</v>
      </c>
      <c r="F69" s="2">
        <f t="shared" si="5"/>
        <v>6.340274038168392E-3</v>
      </c>
      <c r="G69" s="2">
        <f t="shared" si="7"/>
        <v>0.90261653927430074</v>
      </c>
      <c r="H69" s="2">
        <f t="shared" si="8"/>
        <v>1.0248163995101554</v>
      </c>
    </row>
    <row r="70" spans="1:8" x14ac:dyDescent="0.3">
      <c r="A70" s="1">
        <v>42620</v>
      </c>
      <c r="B70">
        <v>614.54400599999997</v>
      </c>
      <c r="C70" s="2">
        <f t="shared" si="6"/>
        <v>6.7296689169238366E-3</v>
      </c>
      <c r="D70">
        <f t="shared" si="3"/>
        <v>607.68319080000003</v>
      </c>
      <c r="E70">
        <f t="shared" si="4"/>
        <v>1</v>
      </c>
      <c r="F70" s="2">
        <f t="shared" si="5"/>
        <v>6.7296689169238366E-3</v>
      </c>
      <c r="G70" s="2">
        <f t="shared" si="7"/>
        <v>0.90869084974255632</v>
      </c>
      <c r="H70" s="2">
        <f t="shared" si="8"/>
        <v>1.0317130745794927</v>
      </c>
    </row>
    <row r="71" spans="1:8" x14ac:dyDescent="0.3">
      <c r="A71" s="1">
        <v>42621</v>
      </c>
      <c r="B71">
        <v>626.31597899999997</v>
      </c>
      <c r="C71" s="2">
        <f t="shared" si="6"/>
        <v>1.9155622518593152E-2</v>
      </c>
      <c r="D71">
        <f t="shared" ref="D71:D134" si="9">AVERAGE(B67:B71)</f>
        <v>613.30399160000002</v>
      </c>
      <c r="E71">
        <f t="shared" ref="E71:E134" si="10">IF(B71&gt;D71,1,0)</f>
        <v>1</v>
      </c>
      <c r="F71" s="2">
        <f t="shared" si="5"/>
        <v>1.9155622518593152E-2</v>
      </c>
      <c r="G71" s="2">
        <f t="shared" si="7"/>
        <v>0.9260973886463244</v>
      </c>
      <c r="H71" s="2">
        <f t="shared" si="8"/>
        <v>1.0514761807836346</v>
      </c>
    </row>
    <row r="72" spans="1:8" x14ac:dyDescent="0.3">
      <c r="A72" s="1">
        <v>42622</v>
      </c>
      <c r="B72">
        <v>622.86102300000005</v>
      </c>
      <c r="C72" s="2">
        <f t="shared" si="6"/>
        <v>-5.5163146332563029E-3</v>
      </c>
      <c r="D72">
        <f t="shared" si="9"/>
        <v>616.14940179999996</v>
      </c>
      <c r="E72">
        <f t="shared" si="10"/>
        <v>1</v>
      </c>
      <c r="F72" s="2">
        <f t="shared" ref="F72:F135" si="11">E71*C72</f>
        <v>-5.5163146332563029E-3</v>
      </c>
      <c r="G72" s="2">
        <f t="shared" si="7"/>
        <v>0.92098874406951425</v>
      </c>
      <c r="H72" s="2">
        <f t="shared" si="8"/>
        <v>1.0456759073410573</v>
      </c>
    </row>
    <row r="73" spans="1:8" x14ac:dyDescent="0.3">
      <c r="A73" s="1">
        <v>42623</v>
      </c>
      <c r="B73">
        <v>623.50897199999997</v>
      </c>
      <c r="C73" s="2">
        <f t="shared" si="6"/>
        <v>1.040278611236678E-3</v>
      </c>
      <c r="D73">
        <f t="shared" si="9"/>
        <v>619.53319080000006</v>
      </c>
      <c r="E73">
        <f t="shared" si="10"/>
        <v>1</v>
      </c>
      <c r="F73" s="2">
        <f t="shared" si="11"/>
        <v>1.040278611236678E-3</v>
      </c>
      <c r="G73" s="2">
        <f t="shared" si="7"/>
        <v>0.92194682896115954</v>
      </c>
      <c r="H73" s="2">
        <f t="shared" si="8"/>
        <v>1.0467637016217497</v>
      </c>
    </row>
    <row r="74" spans="1:8" x14ac:dyDescent="0.3">
      <c r="A74" s="1">
        <v>42624</v>
      </c>
      <c r="B74">
        <v>606.71899399999995</v>
      </c>
      <c r="C74" s="2">
        <f t="shared" si="6"/>
        <v>-2.692820593446088E-2</v>
      </c>
      <c r="D74">
        <f t="shared" si="9"/>
        <v>618.78979479999998</v>
      </c>
      <c r="E74">
        <f t="shared" si="10"/>
        <v>0</v>
      </c>
      <c r="F74" s="2">
        <f t="shared" si="11"/>
        <v>-2.692820593446088E-2</v>
      </c>
      <c r="G74" s="2">
        <f t="shared" si="7"/>
        <v>0.89712045489027026</v>
      </c>
      <c r="H74" s="2">
        <f t="shared" si="8"/>
        <v>1.0185762330997608</v>
      </c>
    </row>
    <row r="75" spans="1:8" x14ac:dyDescent="0.3">
      <c r="A75" s="1">
        <v>42625</v>
      </c>
      <c r="B75">
        <v>608.24298099999999</v>
      </c>
      <c r="C75" s="2">
        <f t="shared" si="6"/>
        <v>2.5118498268079659E-3</v>
      </c>
      <c r="D75">
        <f t="shared" si="9"/>
        <v>617.52958979999994</v>
      </c>
      <c r="E75">
        <f t="shared" si="10"/>
        <v>0</v>
      </c>
      <c r="F75" s="2">
        <f t="shared" si="11"/>
        <v>0</v>
      </c>
      <c r="G75" s="2">
        <f t="shared" si="7"/>
        <v>0.89937388674951224</v>
      </c>
      <c r="H75" s="2">
        <f t="shared" si="8"/>
        <v>1.0185762330997608</v>
      </c>
    </row>
    <row r="76" spans="1:8" x14ac:dyDescent="0.3">
      <c r="A76" s="1">
        <v>42626</v>
      </c>
      <c r="B76">
        <v>609.24102800000003</v>
      </c>
      <c r="C76" s="2">
        <f t="shared" si="6"/>
        <v>1.64086891452353E-3</v>
      </c>
      <c r="D76">
        <f t="shared" si="9"/>
        <v>614.11459959999991</v>
      </c>
      <c r="E76">
        <f t="shared" si="10"/>
        <v>0</v>
      </c>
      <c r="F76" s="2">
        <f t="shared" si="11"/>
        <v>0</v>
      </c>
      <c r="G76" s="2">
        <f t="shared" si="7"/>
        <v>0.90084964140281376</v>
      </c>
      <c r="H76" s="2">
        <f t="shared" si="8"/>
        <v>1.0185762330997608</v>
      </c>
    </row>
    <row r="77" spans="1:8" x14ac:dyDescent="0.3">
      <c r="A77" s="1">
        <v>42627</v>
      </c>
      <c r="B77">
        <v>610.68402100000003</v>
      </c>
      <c r="C77" s="2">
        <f t="shared" si="6"/>
        <v>2.3685092330978375E-3</v>
      </c>
      <c r="D77">
        <f t="shared" si="9"/>
        <v>611.67919919999997</v>
      </c>
      <c r="E77">
        <f t="shared" si="10"/>
        <v>0</v>
      </c>
      <c r="F77" s="2">
        <f t="shared" si="11"/>
        <v>0</v>
      </c>
      <c r="G77" s="2">
        <f t="shared" si="7"/>
        <v>0.90298331209610916</v>
      </c>
      <c r="H77" s="2">
        <f t="shared" si="8"/>
        <v>1.0185762330997608</v>
      </c>
    </row>
    <row r="78" spans="1:8" x14ac:dyDescent="0.3">
      <c r="A78" s="1">
        <v>42628</v>
      </c>
      <c r="B78">
        <v>607.15502900000001</v>
      </c>
      <c r="C78" s="2">
        <f t="shared" si="6"/>
        <v>-5.7787528061095106E-3</v>
      </c>
      <c r="D78">
        <f t="shared" si="9"/>
        <v>608.40841060000002</v>
      </c>
      <c r="E78">
        <f t="shared" si="10"/>
        <v>0</v>
      </c>
      <c r="F78" s="2">
        <f t="shared" si="11"/>
        <v>0</v>
      </c>
      <c r="G78" s="2">
        <f t="shared" si="7"/>
        <v>0.89776519474746375</v>
      </c>
      <c r="H78" s="2">
        <f t="shared" si="8"/>
        <v>1.0185762330997608</v>
      </c>
    </row>
    <row r="79" spans="1:8" x14ac:dyDescent="0.3">
      <c r="A79" s="1">
        <v>42629</v>
      </c>
      <c r="B79">
        <v>606.97302200000001</v>
      </c>
      <c r="C79" s="2">
        <f t="shared" si="6"/>
        <v>-2.9977022557114985E-4</v>
      </c>
      <c r="D79">
        <f t="shared" si="9"/>
        <v>608.45921620000013</v>
      </c>
      <c r="E79">
        <f t="shared" si="10"/>
        <v>0</v>
      </c>
      <c r="F79" s="2">
        <f t="shared" si="11"/>
        <v>0</v>
      </c>
      <c r="G79" s="2">
        <f t="shared" si="7"/>
        <v>0.89749607147252441</v>
      </c>
      <c r="H79" s="2">
        <f t="shared" si="8"/>
        <v>1.0185762330997608</v>
      </c>
    </row>
    <row r="80" spans="1:8" x14ac:dyDescent="0.3">
      <c r="A80" s="1">
        <v>42630</v>
      </c>
      <c r="B80">
        <v>605.98400900000001</v>
      </c>
      <c r="C80" s="2">
        <f t="shared" si="6"/>
        <v>-1.6294183829475006E-3</v>
      </c>
      <c r="D80">
        <f t="shared" si="9"/>
        <v>608.00742179999997</v>
      </c>
      <c r="E80">
        <f t="shared" si="10"/>
        <v>0</v>
      </c>
      <c r="F80" s="2">
        <f t="shared" si="11"/>
        <v>0</v>
      </c>
      <c r="G80" s="2">
        <f t="shared" si="7"/>
        <v>0.89603367487504393</v>
      </c>
      <c r="H80" s="2">
        <f t="shared" si="8"/>
        <v>1.0185762330997608</v>
      </c>
    </row>
    <row r="81" spans="1:8" x14ac:dyDescent="0.3">
      <c r="A81" s="1">
        <v>42631</v>
      </c>
      <c r="B81">
        <v>609.87402299999997</v>
      </c>
      <c r="C81" s="2">
        <f t="shared" si="6"/>
        <v>6.4193344085421433E-3</v>
      </c>
      <c r="D81">
        <f t="shared" si="9"/>
        <v>608.13402080000003</v>
      </c>
      <c r="E81">
        <f t="shared" si="10"/>
        <v>1</v>
      </c>
      <c r="F81" s="2">
        <f t="shared" si="11"/>
        <v>0</v>
      </c>
      <c r="G81" s="2">
        <f t="shared" si="7"/>
        <v>0.90178561467538176</v>
      </c>
      <c r="H81" s="2">
        <f t="shared" si="8"/>
        <v>1.0185762330997608</v>
      </c>
    </row>
    <row r="82" spans="1:8" x14ac:dyDescent="0.3">
      <c r="A82" s="1">
        <v>42632</v>
      </c>
      <c r="B82">
        <v>609.22699</v>
      </c>
      <c r="C82" s="2">
        <f t="shared" si="6"/>
        <v>-1.0609289387620846E-3</v>
      </c>
      <c r="D82">
        <f t="shared" si="9"/>
        <v>607.84261460000005</v>
      </c>
      <c r="E82">
        <f t="shared" si="10"/>
        <v>1</v>
      </c>
      <c r="F82" s="2">
        <f t="shared" si="11"/>
        <v>-1.0609289387620846E-3</v>
      </c>
      <c r="G82" s="2">
        <f t="shared" si="7"/>
        <v>0.90082888422021334</v>
      </c>
      <c r="H82" s="2">
        <f t="shared" si="8"/>
        <v>1.0174955960977299</v>
      </c>
    </row>
    <row r="83" spans="1:8" x14ac:dyDescent="0.3">
      <c r="A83" s="1">
        <v>42633</v>
      </c>
      <c r="B83">
        <v>608.31201199999998</v>
      </c>
      <c r="C83" s="2">
        <f t="shared" si="6"/>
        <v>-1.5018671447895038E-3</v>
      </c>
      <c r="D83">
        <f t="shared" si="9"/>
        <v>608.07401119999997</v>
      </c>
      <c r="E83">
        <f t="shared" si="10"/>
        <v>1</v>
      </c>
      <c r="F83" s="2">
        <f t="shared" si="11"/>
        <v>-1.5018671447895038E-3</v>
      </c>
      <c r="G83" s="2">
        <f t="shared" si="7"/>
        <v>0.89947595891592558</v>
      </c>
      <c r="H83" s="2">
        <f t="shared" si="8"/>
        <v>1.0159674528919826</v>
      </c>
    </row>
    <row r="84" spans="1:8" x14ac:dyDescent="0.3">
      <c r="A84" s="1">
        <v>42634</v>
      </c>
      <c r="B84">
        <v>597.14898700000003</v>
      </c>
      <c r="C84" s="2">
        <f t="shared" si="6"/>
        <v>-1.8350821255852412E-2</v>
      </c>
      <c r="D84">
        <f t="shared" si="9"/>
        <v>606.10920420000002</v>
      </c>
      <c r="E84">
        <f t="shared" si="10"/>
        <v>0</v>
      </c>
      <c r="F84" s="2">
        <f t="shared" si="11"/>
        <v>-1.8350821255852412E-2</v>
      </c>
      <c r="G84" s="2">
        <f t="shared" si="7"/>
        <v>0.88296983636992299</v>
      </c>
      <c r="H84" s="2">
        <f t="shared" si="8"/>
        <v>0.99732361576219819</v>
      </c>
    </row>
    <row r="85" spans="1:8" x14ac:dyDescent="0.3">
      <c r="A85" s="1">
        <v>42635</v>
      </c>
      <c r="B85">
        <v>596.29797399999995</v>
      </c>
      <c r="C85" s="2">
        <f t="shared" si="6"/>
        <v>-1.4251267581905092E-3</v>
      </c>
      <c r="D85">
        <f t="shared" si="9"/>
        <v>604.17199719999996</v>
      </c>
      <c r="E85">
        <f t="shared" si="10"/>
        <v>0</v>
      </c>
      <c r="F85" s="2">
        <f t="shared" si="11"/>
        <v>0</v>
      </c>
      <c r="G85" s="2">
        <f t="shared" si="7"/>
        <v>0.88171149242943714</v>
      </c>
      <c r="H85" s="2">
        <f t="shared" si="8"/>
        <v>0.99732361576219819</v>
      </c>
    </row>
    <row r="86" spans="1:8" x14ac:dyDescent="0.3">
      <c r="A86" s="1">
        <v>42636</v>
      </c>
      <c r="B86">
        <v>602.84198000000004</v>
      </c>
      <c r="C86" s="2">
        <f t="shared" si="6"/>
        <v>1.0974389123113326E-2</v>
      </c>
      <c r="D86">
        <f t="shared" si="9"/>
        <v>602.7655886</v>
      </c>
      <c r="E86">
        <f t="shared" si="10"/>
        <v>1</v>
      </c>
      <c r="F86" s="2">
        <f t="shared" si="11"/>
        <v>0</v>
      </c>
      <c r="G86" s="2">
        <f t="shared" si="7"/>
        <v>0.89138773744167876</v>
      </c>
      <c r="H86" s="2">
        <f t="shared" si="8"/>
        <v>0.99732361576219819</v>
      </c>
    </row>
    <row r="87" spans="1:8" x14ac:dyDescent="0.3">
      <c r="A87" s="1">
        <v>42637</v>
      </c>
      <c r="B87">
        <v>602.625</v>
      </c>
      <c r="C87" s="2">
        <f t="shared" si="6"/>
        <v>-3.5992848407806477E-4</v>
      </c>
      <c r="D87">
        <f t="shared" si="9"/>
        <v>601.44519060000005</v>
      </c>
      <c r="E87">
        <f t="shared" si="10"/>
        <v>1</v>
      </c>
      <c r="F87" s="2">
        <f t="shared" si="11"/>
        <v>-3.5992848407806477E-4</v>
      </c>
      <c r="G87" s="2">
        <f t="shared" si="7"/>
        <v>0.89106690160461566</v>
      </c>
      <c r="H87" s="2">
        <f t="shared" si="8"/>
        <v>0.99696465058504169</v>
      </c>
    </row>
    <row r="88" spans="1:8" x14ac:dyDescent="0.3">
      <c r="A88" s="1">
        <v>42638</v>
      </c>
      <c r="B88">
        <v>600.82598900000005</v>
      </c>
      <c r="C88" s="2">
        <f t="shared" si="6"/>
        <v>-2.9852910184607895E-3</v>
      </c>
      <c r="D88">
        <f t="shared" si="9"/>
        <v>599.94798600000001</v>
      </c>
      <c r="E88">
        <f t="shared" si="10"/>
        <v>1</v>
      </c>
      <c r="F88" s="2">
        <f t="shared" si="11"/>
        <v>-2.9852910184607895E-3</v>
      </c>
      <c r="G88" s="2">
        <f t="shared" si="7"/>
        <v>0.88840680758640767</v>
      </c>
      <c r="H88" s="2">
        <f t="shared" si="8"/>
        <v>0.99398842096792728</v>
      </c>
    </row>
    <row r="89" spans="1:8" x14ac:dyDescent="0.3">
      <c r="A89" s="1">
        <v>42639</v>
      </c>
      <c r="B89">
        <v>608.04303000000004</v>
      </c>
      <c r="C89" s="2">
        <f t="shared" si="6"/>
        <v>1.201186555197431E-2</v>
      </c>
      <c r="D89">
        <f t="shared" si="9"/>
        <v>602.12679460000004</v>
      </c>
      <c r="E89">
        <f t="shared" si="10"/>
        <v>1</v>
      </c>
      <c r="F89" s="2">
        <f t="shared" si="11"/>
        <v>1.201186555197431E-2</v>
      </c>
      <c r="G89" s="2">
        <f t="shared" si="7"/>
        <v>0.89907823071459425</v>
      </c>
      <c r="H89" s="2">
        <f t="shared" si="8"/>
        <v>1.0059280762408132</v>
      </c>
    </row>
    <row r="90" spans="1:8" x14ac:dyDescent="0.3">
      <c r="A90" s="1">
        <v>42640</v>
      </c>
      <c r="B90">
        <v>606.16601600000001</v>
      </c>
      <c r="C90" s="2">
        <f t="shared" si="6"/>
        <v>-3.0869756043417906E-3</v>
      </c>
      <c r="D90">
        <f t="shared" si="9"/>
        <v>604.10040300000003</v>
      </c>
      <c r="E90">
        <f t="shared" si="10"/>
        <v>1</v>
      </c>
      <c r="F90" s="2">
        <f t="shared" si="11"/>
        <v>-3.0869756043417906E-3</v>
      </c>
      <c r="G90" s="2">
        <f t="shared" si="7"/>
        <v>0.89630279814998348</v>
      </c>
      <c r="H90" s="2">
        <f t="shared" si="8"/>
        <v>1.0028228008097353</v>
      </c>
    </row>
    <row r="91" spans="1:8" x14ac:dyDescent="0.3">
      <c r="A91" s="1">
        <v>42641</v>
      </c>
      <c r="B91">
        <v>604.728027</v>
      </c>
      <c r="C91" s="2">
        <f t="shared" si="6"/>
        <v>-2.3722692497495368E-3</v>
      </c>
      <c r="D91">
        <f t="shared" si="9"/>
        <v>604.4776124</v>
      </c>
      <c r="E91">
        <f t="shared" si="10"/>
        <v>1</v>
      </c>
      <c r="F91" s="2">
        <f t="shared" si="11"/>
        <v>-2.3722692497495368E-3</v>
      </c>
      <c r="G91" s="2">
        <f t="shared" si="7"/>
        <v>0.8941765265834678</v>
      </c>
      <c r="H91" s="2">
        <f t="shared" si="8"/>
        <v>1.0004438351164266</v>
      </c>
    </row>
    <row r="92" spans="1:8" x14ac:dyDescent="0.3">
      <c r="A92" s="1">
        <v>42642</v>
      </c>
      <c r="B92">
        <v>605.692993</v>
      </c>
      <c r="C92" s="2">
        <f t="shared" si="6"/>
        <v>1.5957024594792646E-3</v>
      </c>
      <c r="D92">
        <f t="shared" si="9"/>
        <v>605.09121100000016</v>
      </c>
      <c r="E92">
        <f t="shared" si="10"/>
        <v>1</v>
      </c>
      <c r="F92" s="2">
        <f t="shared" si="11"/>
        <v>1.5957024594792646E-3</v>
      </c>
      <c r="G92" s="2">
        <f t="shared" si="7"/>
        <v>0.89560336626614567</v>
      </c>
      <c r="H92" s="2">
        <f t="shared" si="8"/>
        <v>1.0020402458046929</v>
      </c>
    </row>
    <row r="93" spans="1:8" x14ac:dyDescent="0.3">
      <c r="A93" s="1">
        <v>42643</v>
      </c>
      <c r="B93">
        <v>609.73498500000005</v>
      </c>
      <c r="C93" s="2">
        <f t="shared" si="6"/>
        <v>6.6733345881715422E-3</v>
      </c>
      <c r="D93">
        <f t="shared" si="9"/>
        <v>606.87301020000007</v>
      </c>
      <c r="E93">
        <f t="shared" si="10"/>
        <v>1</v>
      </c>
      <c r="F93" s="2">
        <f t="shared" si="11"/>
        <v>6.6733345881715422E-3</v>
      </c>
      <c r="G93" s="2">
        <f t="shared" si="7"/>
        <v>0.90158002718753238</v>
      </c>
      <c r="H93" s="2">
        <f t="shared" si="8"/>
        <v>1.0087271956357613</v>
      </c>
    </row>
    <row r="94" spans="1:8" x14ac:dyDescent="0.3">
      <c r="A94" s="1">
        <v>42644</v>
      </c>
      <c r="B94">
        <v>613.98297100000002</v>
      </c>
      <c r="C94" s="2">
        <f t="shared" si="6"/>
        <v>6.9669382674506508E-3</v>
      </c>
      <c r="D94">
        <f t="shared" si="9"/>
        <v>608.06099840000002</v>
      </c>
      <c r="E94">
        <f t="shared" si="10"/>
        <v>1</v>
      </c>
      <c r="F94" s="2">
        <f t="shared" si="11"/>
        <v>6.9669382674506508E-3</v>
      </c>
      <c r="G94" s="2">
        <f t="shared" si="7"/>
        <v>0.90786127958011442</v>
      </c>
      <c r="H94" s="2">
        <f t="shared" si="8"/>
        <v>1.0157549357364544</v>
      </c>
    </row>
    <row r="95" spans="1:8" x14ac:dyDescent="0.3">
      <c r="A95" s="1">
        <v>42645</v>
      </c>
      <c r="B95">
        <v>610.89202899999998</v>
      </c>
      <c r="C95" s="2">
        <f t="shared" si="6"/>
        <v>-5.0342471143227652E-3</v>
      </c>
      <c r="D95">
        <f t="shared" si="9"/>
        <v>609.00620100000003</v>
      </c>
      <c r="E95">
        <f t="shared" si="10"/>
        <v>1</v>
      </c>
      <c r="F95" s="2">
        <f t="shared" si="11"/>
        <v>-5.0342471143227652E-3</v>
      </c>
      <c r="G95" s="2">
        <f t="shared" si="7"/>
        <v>0.90329088155318282</v>
      </c>
      <c r="H95" s="2">
        <f t="shared" si="8"/>
        <v>1.0106413743823641</v>
      </c>
    </row>
    <row r="96" spans="1:8" x14ac:dyDescent="0.3">
      <c r="A96" s="1">
        <v>42646</v>
      </c>
      <c r="B96">
        <v>612.13299600000005</v>
      </c>
      <c r="C96" s="2">
        <f t="shared" si="6"/>
        <v>2.031401526111587E-3</v>
      </c>
      <c r="D96">
        <f t="shared" si="9"/>
        <v>610.4871948</v>
      </c>
      <c r="E96">
        <f t="shared" si="10"/>
        <v>1</v>
      </c>
      <c r="F96" s="2">
        <f t="shared" si="11"/>
        <v>2.031401526111587E-3</v>
      </c>
      <c r="G96" s="2">
        <f t="shared" si="7"/>
        <v>0.90512582802849262</v>
      </c>
      <c r="H96" s="2">
        <f t="shared" si="8"/>
        <v>1.012694392812636</v>
      </c>
    </row>
    <row r="97" spans="1:8" x14ac:dyDescent="0.3">
      <c r="A97" s="1">
        <v>42647</v>
      </c>
      <c r="B97">
        <v>610.203979</v>
      </c>
      <c r="C97" s="2">
        <f t="shared" si="6"/>
        <v>-3.151303740535516E-3</v>
      </c>
      <c r="D97">
        <f t="shared" si="9"/>
        <v>611.38939200000004</v>
      </c>
      <c r="E97">
        <f t="shared" si="10"/>
        <v>0</v>
      </c>
      <c r="F97" s="2">
        <f t="shared" si="11"/>
        <v>-3.151303740535516E-3</v>
      </c>
      <c r="G97" s="2">
        <f t="shared" si="7"/>
        <v>0.90227350162097109</v>
      </c>
      <c r="H97" s="2">
        <f t="shared" si="8"/>
        <v>1.0095030851845461</v>
      </c>
    </row>
    <row r="98" spans="1:8" x14ac:dyDescent="0.3">
      <c r="A98" s="1">
        <v>42648</v>
      </c>
      <c r="B98">
        <v>612.510986</v>
      </c>
      <c r="C98" s="2">
        <f t="shared" si="6"/>
        <v>3.7807144486023958E-3</v>
      </c>
      <c r="D98">
        <f t="shared" si="9"/>
        <v>611.9445922000001</v>
      </c>
      <c r="E98">
        <f t="shared" si="10"/>
        <v>1</v>
      </c>
      <c r="F98" s="2">
        <f t="shared" si="11"/>
        <v>0</v>
      </c>
      <c r="G98" s="2">
        <f t="shared" si="7"/>
        <v>0.90568474008514055</v>
      </c>
      <c r="H98" s="2">
        <f t="shared" si="8"/>
        <v>1.0095030851845461</v>
      </c>
    </row>
    <row r="99" spans="1:8" x14ac:dyDescent="0.3">
      <c r="A99" s="1">
        <v>42649</v>
      </c>
      <c r="B99">
        <v>613.02099599999997</v>
      </c>
      <c r="C99" s="2">
        <f t="shared" si="6"/>
        <v>8.3265445299285368E-4</v>
      </c>
      <c r="D99">
        <f t="shared" si="9"/>
        <v>611.75219720000007</v>
      </c>
      <c r="E99">
        <f t="shared" si="10"/>
        <v>1</v>
      </c>
      <c r="F99" s="2">
        <f t="shared" si="11"/>
        <v>8.3265445299285368E-4</v>
      </c>
      <c r="G99" s="2">
        <f t="shared" si="7"/>
        <v>0.90643886251698014</v>
      </c>
      <c r="H99" s="2">
        <f t="shared" si="8"/>
        <v>1.010343652423735</v>
      </c>
    </row>
    <row r="100" spans="1:8" x14ac:dyDescent="0.3">
      <c r="A100" s="1">
        <v>42650</v>
      </c>
      <c r="B100">
        <v>617.12097200000005</v>
      </c>
      <c r="C100" s="2">
        <f t="shared" si="6"/>
        <v>6.6881493892585464E-3</v>
      </c>
      <c r="D100">
        <f t="shared" si="9"/>
        <v>612.99798580000004</v>
      </c>
      <c r="E100">
        <f t="shared" si="10"/>
        <v>1</v>
      </c>
      <c r="F100" s="2">
        <f t="shared" si="11"/>
        <v>6.6881493892585464E-3</v>
      </c>
      <c r="G100" s="2">
        <f t="shared" si="7"/>
        <v>0.91250126104172324</v>
      </c>
      <c r="H100" s="2">
        <f t="shared" si="8"/>
        <v>1.017100981705634</v>
      </c>
    </row>
    <row r="101" spans="1:8" x14ac:dyDescent="0.3">
      <c r="A101" s="1">
        <v>42651</v>
      </c>
      <c r="B101">
        <v>619.10797100000002</v>
      </c>
      <c r="C101" s="2">
        <f t="shared" si="6"/>
        <v>3.2197884858140569E-3</v>
      </c>
      <c r="D101">
        <f t="shared" si="9"/>
        <v>614.39298080000003</v>
      </c>
      <c r="E101">
        <f t="shared" si="10"/>
        <v>1</v>
      </c>
      <c r="F101" s="2">
        <f t="shared" si="11"/>
        <v>3.2197884858140569E-3</v>
      </c>
      <c r="G101" s="2">
        <f t="shared" si="7"/>
        <v>0.9154393220953162</v>
      </c>
      <c r="H101" s="2">
        <f t="shared" si="8"/>
        <v>1.0203758317354399</v>
      </c>
    </row>
    <row r="102" spans="1:8" x14ac:dyDescent="0.3">
      <c r="A102" s="1">
        <v>42652</v>
      </c>
      <c r="B102">
        <v>616.75201400000003</v>
      </c>
      <c r="C102" s="2">
        <f t="shared" si="6"/>
        <v>-3.8054056971590366E-3</v>
      </c>
      <c r="D102">
        <f t="shared" si="9"/>
        <v>615.70258780000006</v>
      </c>
      <c r="E102">
        <f t="shared" si="10"/>
        <v>1</v>
      </c>
      <c r="F102" s="2">
        <f t="shared" si="11"/>
        <v>-3.8054056971590366E-3</v>
      </c>
      <c r="G102" s="2">
        <f t="shared" si="7"/>
        <v>0.91195570408361126</v>
      </c>
      <c r="H102" s="2">
        <f t="shared" si="8"/>
        <v>1.0164928877321104</v>
      </c>
    </row>
    <row r="103" spans="1:8" x14ac:dyDescent="0.3">
      <c r="A103" s="1">
        <v>42653</v>
      </c>
      <c r="B103">
        <v>618.99401899999998</v>
      </c>
      <c r="C103" s="2">
        <f t="shared" si="6"/>
        <v>3.6351806708490031E-3</v>
      </c>
      <c r="D103">
        <f t="shared" si="9"/>
        <v>616.99919439999996</v>
      </c>
      <c r="E103">
        <f t="shared" si="10"/>
        <v>1</v>
      </c>
      <c r="F103" s="2">
        <f t="shared" si="11"/>
        <v>3.6351806708490031E-3</v>
      </c>
      <c r="G103" s="2">
        <f t="shared" si="7"/>
        <v>0.9152708278317665</v>
      </c>
      <c r="H103" s="2">
        <f t="shared" si="8"/>
        <v>1.0201880230296496</v>
      </c>
    </row>
    <row r="104" spans="1:8" x14ac:dyDescent="0.3">
      <c r="A104" s="1">
        <v>42654</v>
      </c>
      <c r="B104">
        <v>641.07202099999995</v>
      </c>
      <c r="C104" s="2">
        <f t="shared" si="6"/>
        <v>3.5667553033335464E-2</v>
      </c>
      <c r="D104">
        <f t="shared" si="9"/>
        <v>622.60939940000003</v>
      </c>
      <c r="E104">
        <f t="shared" si="10"/>
        <v>1</v>
      </c>
      <c r="F104" s="2">
        <f t="shared" si="11"/>
        <v>3.5667553033335464E-2</v>
      </c>
      <c r="G104" s="2">
        <f t="shared" si="7"/>
        <v>0.94791629862332083</v>
      </c>
      <c r="H104" s="2">
        <f t="shared" si="8"/>
        <v>1.0565756334450334</v>
      </c>
    </row>
    <row r="105" spans="1:8" x14ac:dyDescent="0.3">
      <c r="A105" s="1">
        <v>42655</v>
      </c>
      <c r="B105">
        <v>636.19201699999996</v>
      </c>
      <c r="C105" s="2">
        <f t="shared" si="6"/>
        <v>-7.612255472306706E-3</v>
      </c>
      <c r="D105">
        <f t="shared" si="9"/>
        <v>626.42360839999992</v>
      </c>
      <c r="E105">
        <f t="shared" si="10"/>
        <v>1</v>
      </c>
      <c r="F105" s="2">
        <f t="shared" si="11"/>
        <v>-7.612255472306706E-3</v>
      </c>
      <c r="G105" s="2">
        <f t="shared" si="7"/>
        <v>0.9407005175918367</v>
      </c>
      <c r="H105" s="2">
        <f t="shared" si="8"/>
        <v>1.0485327097974355</v>
      </c>
    </row>
    <row r="106" spans="1:8" x14ac:dyDescent="0.3">
      <c r="A106" s="1">
        <v>42656</v>
      </c>
      <c r="B106">
        <v>636.78601100000003</v>
      </c>
      <c r="C106" s="2">
        <f t="shared" si="6"/>
        <v>9.336709423062306E-4</v>
      </c>
      <c r="D106">
        <f t="shared" si="9"/>
        <v>629.95921639999995</v>
      </c>
      <c r="E106">
        <f t="shared" si="10"/>
        <v>1</v>
      </c>
      <c r="F106" s="2">
        <f t="shared" si="11"/>
        <v>9.336709423062306E-4</v>
      </c>
      <c r="G106" s="2">
        <f t="shared" si="7"/>
        <v>0.94157882233052459</v>
      </c>
      <c r="H106" s="2">
        <f t="shared" si="8"/>
        <v>1.0495116943206311</v>
      </c>
    </row>
    <row r="107" spans="1:8" x14ac:dyDescent="0.3">
      <c r="A107" s="1">
        <v>42657</v>
      </c>
      <c r="B107">
        <v>640.37799099999995</v>
      </c>
      <c r="C107" s="2">
        <f t="shared" si="6"/>
        <v>5.640796025589756E-3</v>
      </c>
      <c r="D107">
        <f t="shared" si="9"/>
        <v>634.68441180000002</v>
      </c>
      <c r="E107">
        <f t="shared" si="10"/>
        <v>1</v>
      </c>
      <c r="F107" s="2">
        <f t="shared" si="11"/>
        <v>5.640796025589756E-3</v>
      </c>
      <c r="G107" s="2">
        <f t="shared" si="7"/>
        <v>0.94689007640930611</v>
      </c>
      <c r="H107" s="2">
        <f t="shared" si="8"/>
        <v>1.0554317757147649</v>
      </c>
    </row>
    <row r="108" spans="1:8" x14ac:dyDescent="0.3">
      <c r="A108" s="1">
        <v>42658</v>
      </c>
      <c r="B108">
        <v>638.64599599999997</v>
      </c>
      <c r="C108" s="2">
        <f t="shared" si="6"/>
        <v>-2.7046447947021157E-3</v>
      </c>
      <c r="D108">
        <f t="shared" si="9"/>
        <v>638.61480719999997</v>
      </c>
      <c r="E108">
        <f t="shared" si="10"/>
        <v>1</v>
      </c>
      <c r="F108" s="2">
        <f t="shared" si="11"/>
        <v>-2.7046447947021157E-3</v>
      </c>
      <c r="G108" s="2">
        <f t="shared" si="7"/>
        <v>0.94432907509299058</v>
      </c>
      <c r="H108" s="2">
        <f t="shared" si="8"/>
        <v>1.0525772076564148</v>
      </c>
    </row>
    <row r="109" spans="1:8" x14ac:dyDescent="0.3">
      <c r="A109" s="1">
        <v>42659</v>
      </c>
      <c r="B109">
        <v>641.63098100000002</v>
      </c>
      <c r="C109" s="2">
        <f t="shared" si="6"/>
        <v>4.6739273693028327E-3</v>
      </c>
      <c r="D109">
        <f t="shared" si="9"/>
        <v>638.72659920000001</v>
      </c>
      <c r="E109">
        <f t="shared" si="10"/>
        <v>1</v>
      </c>
      <c r="F109" s="2">
        <f t="shared" si="11"/>
        <v>4.6739273693028327E-3</v>
      </c>
      <c r="G109" s="2">
        <f t="shared" si="7"/>
        <v>0.94874280060269611</v>
      </c>
      <c r="H109" s="2">
        <f t="shared" si="8"/>
        <v>1.0574968770755846</v>
      </c>
    </row>
    <row r="110" spans="1:8" x14ac:dyDescent="0.3">
      <c r="A110" s="1">
        <v>42660</v>
      </c>
      <c r="B110">
        <v>639.192993</v>
      </c>
      <c r="C110" s="2">
        <f t="shared" si="6"/>
        <v>-3.799673133302206E-3</v>
      </c>
      <c r="D110">
        <f t="shared" si="9"/>
        <v>639.32679440000004</v>
      </c>
      <c r="E110">
        <f t="shared" si="10"/>
        <v>0</v>
      </c>
      <c r="F110" s="2">
        <f t="shared" si="11"/>
        <v>-3.799673133302206E-3</v>
      </c>
      <c r="G110" s="2">
        <f t="shared" si="7"/>
        <v>0.94513788807283217</v>
      </c>
      <c r="H110" s="2">
        <f t="shared" si="8"/>
        <v>1.0534787346032095</v>
      </c>
    </row>
    <row r="111" spans="1:8" x14ac:dyDescent="0.3">
      <c r="A111" s="1">
        <v>42661</v>
      </c>
      <c r="B111">
        <v>637.96002199999998</v>
      </c>
      <c r="C111" s="2">
        <f t="shared" si="6"/>
        <v>-1.928949493349652E-3</v>
      </c>
      <c r="D111">
        <f t="shared" si="9"/>
        <v>639.56159659999992</v>
      </c>
      <c r="E111">
        <f t="shared" si="10"/>
        <v>0</v>
      </c>
      <c r="F111" s="2">
        <f t="shared" si="11"/>
        <v>0</v>
      </c>
      <c r="G111" s="2">
        <f t="shared" si="7"/>
        <v>0.94331476482248855</v>
      </c>
      <c r="H111" s="2">
        <f t="shared" si="8"/>
        <v>1.0534787346032095</v>
      </c>
    </row>
    <row r="112" spans="1:8" x14ac:dyDescent="0.3">
      <c r="A112" s="1">
        <v>42662</v>
      </c>
      <c r="B112">
        <v>630.52002000000005</v>
      </c>
      <c r="C112" s="2">
        <f t="shared" si="6"/>
        <v>-1.1662175909825212E-2</v>
      </c>
      <c r="D112">
        <f t="shared" si="9"/>
        <v>637.5900024</v>
      </c>
      <c r="E112">
        <f t="shared" si="10"/>
        <v>0</v>
      </c>
      <c r="F112" s="2">
        <f t="shared" si="11"/>
        <v>0</v>
      </c>
      <c r="G112" s="2">
        <f t="shared" si="7"/>
        <v>0.93231366209679334</v>
      </c>
      <c r="H112" s="2">
        <f t="shared" si="8"/>
        <v>1.0534787346032095</v>
      </c>
    </row>
    <row r="113" spans="1:8" x14ac:dyDescent="0.3">
      <c r="A113" s="1">
        <v>42663</v>
      </c>
      <c r="B113">
        <v>630.85699499999998</v>
      </c>
      <c r="C113" s="2">
        <f t="shared" si="6"/>
        <v>5.3443981049161593E-4</v>
      </c>
      <c r="D113">
        <f t="shared" si="9"/>
        <v>636.03220220000003</v>
      </c>
      <c r="E113">
        <f t="shared" si="10"/>
        <v>0</v>
      </c>
      <c r="F113" s="2">
        <f t="shared" si="11"/>
        <v>0</v>
      </c>
      <c r="G113" s="2">
        <f t="shared" si="7"/>
        <v>0.93281192763368315</v>
      </c>
      <c r="H113" s="2">
        <f t="shared" si="8"/>
        <v>1.0534787346032095</v>
      </c>
    </row>
    <row r="114" spans="1:8" x14ac:dyDescent="0.3">
      <c r="A114" s="1">
        <v>42664</v>
      </c>
      <c r="B114">
        <v>632.82800299999997</v>
      </c>
      <c r="C114" s="2">
        <f t="shared" si="6"/>
        <v>3.1243340655990881E-3</v>
      </c>
      <c r="D114">
        <f t="shared" si="9"/>
        <v>634.27160660000004</v>
      </c>
      <c r="E114">
        <f t="shared" si="10"/>
        <v>0</v>
      </c>
      <c r="F114" s="2">
        <f t="shared" si="11"/>
        <v>0</v>
      </c>
      <c r="G114" s="2">
        <f t="shared" si="7"/>
        <v>0.93572634371598618</v>
      </c>
      <c r="H114" s="2">
        <f t="shared" si="8"/>
        <v>1.0534787346032095</v>
      </c>
    </row>
    <row r="115" spans="1:8" x14ac:dyDescent="0.3">
      <c r="A115" s="1">
        <v>42665</v>
      </c>
      <c r="B115">
        <v>657.29400599999997</v>
      </c>
      <c r="C115" s="2">
        <f t="shared" si="6"/>
        <v>3.8661378579986749E-2</v>
      </c>
      <c r="D115">
        <f t="shared" si="9"/>
        <v>637.89180920000013</v>
      </c>
      <c r="E115">
        <f t="shared" si="10"/>
        <v>1</v>
      </c>
      <c r="F115" s="2">
        <f t="shared" si="11"/>
        <v>0</v>
      </c>
      <c r="G115" s="2">
        <f t="shared" si="7"/>
        <v>0.97190281413765667</v>
      </c>
      <c r="H115" s="2">
        <f t="shared" si="8"/>
        <v>1.0534787346032095</v>
      </c>
    </row>
    <row r="116" spans="1:8" x14ac:dyDescent="0.3">
      <c r="A116" s="1">
        <v>42666</v>
      </c>
      <c r="B116">
        <v>657.07098399999995</v>
      </c>
      <c r="C116" s="2">
        <f t="shared" si="6"/>
        <v>-3.3930326149966827E-4</v>
      </c>
      <c r="D116">
        <f t="shared" si="9"/>
        <v>641.71400160000007</v>
      </c>
      <c r="E116">
        <f t="shared" si="10"/>
        <v>1</v>
      </c>
      <c r="F116" s="2">
        <f t="shared" si="11"/>
        <v>-3.3930326149966827E-4</v>
      </c>
      <c r="G116" s="2">
        <f t="shared" si="7"/>
        <v>0.9715730443429591</v>
      </c>
      <c r="H116" s="2">
        <f t="shared" si="8"/>
        <v>1.0531212858326382</v>
      </c>
    </row>
    <row r="117" spans="1:8" x14ac:dyDescent="0.3">
      <c r="A117" s="1">
        <v>42667</v>
      </c>
      <c r="B117">
        <v>653.760986</v>
      </c>
      <c r="C117" s="2">
        <f t="shared" si="6"/>
        <v>-5.0375044410726488E-3</v>
      </c>
      <c r="D117">
        <f t="shared" si="9"/>
        <v>646.3621948</v>
      </c>
      <c r="E117">
        <f t="shared" si="10"/>
        <v>1</v>
      </c>
      <c r="F117" s="2">
        <f t="shared" si="11"/>
        <v>-5.0375044410726488E-3</v>
      </c>
      <c r="G117" s="2">
        <f t="shared" si="7"/>
        <v>0.96667874081725502</v>
      </c>
      <c r="H117" s="2">
        <f t="shared" si="8"/>
        <v>1.0478161826782681</v>
      </c>
    </row>
    <row r="118" spans="1:8" x14ac:dyDescent="0.3">
      <c r="A118" s="1">
        <v>42668</v>
      </c>
      <c r="B118">
        <v>657.58801300000005</v>
      </c>
      <c r="C118" s="2">
        <f t="shared" si="6"/>
        <v>5.8538626225090873E-3</v>
      </c>
      <c r="D118">
        <f t="shared" si="9"/>
        <v>651.70839839999996</v>
      </c>
      <c r="E118">
        <f t="shared" si="10"/>
        <v>1</v>
      </c>
      <c r="F118" s="2">
        <f t="shared" si="11"/>
        <v>5.8538626225090873E-3</v>
      </c>
      <c r="G118" s="2">
        <f t="shared" si="7"/>
        <v>0.97233754536609929</v>
      </c>
      <c r="H118" s="2">
        <f t="shared" si="8"/>
        <v>1.0539499546653086</v>
      </c>
    </row>
    <row r="119" spans="1:8" x14ac:dyDescent="0.3">
      <c r="A119" s="1">
        <v>42669</v>
      </c>
      <c r="B119">
        <v>678.30401600000005</v>
      </c>
      <c r="C119" s="2">
        <f t="shared" si="6"/>
        <v>3.1503011901769629E-2</v>
      </c>
      <c r="D119">
        <f t="shared" si="9"/>
        <v>660.80360099999996</v>
      </c>
      <c r="E119">
        <f t="shared" si="10"/>
        <v>1</v>
      </c>
      <c r="F119" s="2">
        <f t="shared" si="11"/>
        <v>3.1503011901769629E-2</v>
      </c>
      <c r="G119" s="2">
        <f t="shared" si="7"/>
        <v>1.002969106630305</v>
      </c>
      <c r="H119" s="2">
        <f t="shared" si="8"/>
        <v>1.0871525526309993</v>
      </c>
    </row>
    <row r="120" spans="1:8" x14ac:dyDescent="0.3">
      <c r="A120" s="1">
        <v>42670</v>
      </c>
      <c r="B120">
        <v>688.31298800000002</v>
      </c>
      <c r="C120" s="2">
        <f t="shared" si="6"/>
        <v>1.475587902165687E-2</v>
      </c>
      <c r="D120">
        <f t="shared" si="9"/>
        <v>667.00739739999995</v>
      </c>
      <c r="E120">
        <f t="shared" si="10"/>
        <v>1</v>
      </c>
      <c r="F120" s="2">
        <f t="shared" si="11"/>
        <v>1.475587902165687E-2</v>
      </c>
      <c r="G120" s="2">
        <f t="shared" si="7"/>
        <v>1.017768797430201</v>
      </c>
      <c r="H120" s="2">
        <f t="shared" si="8"/>
        <v>1.1031944441757078</v>
      </c>
    </row>
    <row r="121" spans="1:8" x14ac:dyDescent="0.3">
      <c r="A121" s="1">
        <v>42671</v>
      </c>
      <c r="B121">
        <v>689.65100099999995</v>
      </c>
      <c r="C121" s="2">
        <f t="shared" si="6"/>
        <v>1.9439020087179681E-3</v>
      </c>
      <c r="D121">
        <f t="shared" si="9"/>
        <v>673.52340079999999</v>
      </c>
      <c r="E121">
        <f t="shared" si="10"/>
        <v>1</v>
      </c>
      <c r="F121" s="2">
        <f t="shared" si="11"/>
        <v>1.9439020087179681E-3</v>
      </c>
      <c r="G121" s="2">
        <f t="shared" si="7"/>
        <v>1.0197472402399361</v>
      </c>
      <c r="H121" s="2">
        <f t="shared" si="8"/>
        <v>1.1053389460717475</v>
      </c>
    </row>
    <row r="122" spans="1:8" x14ac:dyDescent="0.3">
      <c r="A122" s="1">
        <v>42672</v>
      </c>
      <c r="B122">
        <v>714.47900400000003</v>
      </c>
      <c r="C122" s="2">
        <f t="shared" si="6"/>
        <v>3.6000822102772556E-2</v>
      </c>
      <c r="D122">
        <f t="shared" si="9"/>
        <v>685.6670044</v>
      </c>
      <c r="E122">
        <f t="shared" si="10"/>
        <v>1</v>
      </c>
      <c r="F122" s="2">
        <f t="shared" si="11"/>
        <v>3.6000822102772556E-2</v>
      </c>
      <c r="G122" s="2">
        <f t="shared" si="7"/>
        <v>1.0564589792256074</v>
      </c>
      <c r="H122" s="2">
        <f t="shared" si="8"/>
        <v>1.1451320568325427</v>
      </c>
    </row>
    <row r="123" spans="1:8" x14ac:dyDescent="0.3">
      <c r="A123" s="1">
        <v>42673</v>
      </c>
      <c r="B123">
        <v>701.864014</v>
      </c>
      <c r="C123" s="2">
        <f t="shared" si="6"/>
        <v>-1.7656208131204942E-2</v>
      </c>
      <c r="D123">
        <f t="shared" si="9"/>
        <v>694.5222045999999</v>
      </c>
      <c r="E123">
        <f t="shared" si="10"/>
        <v>1</v>
      </c>
      <c r="F123" s="2">
        <f t="shared" si="11"/>
        <v>-1.7656208131204942E-2</v>
      </c>
      <c r="G123" s="2">
        <f t="shared" si="7"/>
        <v>1.0378059196063198</v>
      </c>
      <c r="H123" s="2">
        <f t="shared" si="8"/>
        <v>1.1249133668993925</v>
      </c>
    </row>
    <row r="124" spans="1:8" x14ac:dyDescent="0.3">
      <c r="A124" s="1">
        <v>42674</v>
      </c>
      <c r="B124">
        <v>700.97198500000002</v>
      </c>
      <c r="C124" s="2">
        <f t="shared" si="6"/>
        <v>-1.2709427783826888E-3</v>
      </c>
      <c r="D124">
        <f t="shared" si="9"/>
        <v>699.05579839999996</v>
      </c>
      <c r="E124">
        <f t="shared" si="10"/>
        <v>1</v>
      </c>
      <c r="F124" s="2">
        <f t="shared" si="11"/>
        <v>-1.2709427783826888E-3</v>
      </c>
      <c r="G124" s="2">
        <f t="shared" si="7"/>
        <v>1.0364869276674333</v>
      </c>
      <c r="H124" s="2">
        <f t="shared" si="8"/>
        <v>1.1234836663794254</v>
      </c>
    </row>
    <row r="125" spans="1:8" x14ac:dyDescent="0.3">
      <c r="A125" s="1">
        <v>42675</v>
      </c>
      <c r="B125">
        <v>729.79303000000004</v>
      </c>
      <c r="C125" s="2">
        <f t="shared" si="6"/>
        <v>4.1115830042765644E-2</v>
      </c>
      <c r="D125">
        <f t="shared" si="9"/>
        <v>707.35180679999996</v>
      </c>
      <c r="E125">
        <f t="shared" si="10"/>
        <v>1</v>
      </c>
      <c r="F125" s="2">
        <f t="shared" si="11"/>
        <v>4.1115830042765644E-2</v>
      </c>
      <c r="G125" s="2">
        <f t="shared" si="7"/>
        <v>1.0791029480269558</v>
      </c>
      <c r="H125" s="2">
        <f t="shared" si="8"/>
        <v>1.1696766298621051</v>
      </c>
    </row>
    <row r="126" spans="1:8" x14ac:dyDescent="0.3">
      <c r="A126" s="1">
        <v>42676</v>
      </c>
      <c r="B126">
        <v>740.828979</v>
      </c>
      <c r="C126" s="2">
        <f t="shared" si="6"/>
        <v>1.5122025761194147E-2</v>
      </c>
      <c r="D126">
        <f t="shared" si="9"/>
        <v>717.58740240000009</v>
      </c>
      <c r="E126">
        <f t="shared" si="10"/>
        <v>1</v>
      </c>
      <c r="F126" s="2">
        <f t="shared" si="11"/>
        <v>1.5122025761194147E-2</v>
      </c>
      <c r="G126" s="2">
        <f t="shared" si="7"/>
        <v>1.095421170606</v>
      </c>
      <c r="H126" s="2">
        <f t="shared" si="8"/>
        <v>1.1873645099911465</v>
      </c>
    </row>
    <row r="127" spans="1:8" x14ac:dyDescent="0.3">
      <c r="A127" s="1">
        <v>42677</v>
      </c>
      <c r="B127">
        <v>688.70001200000002</v>
      </c>
      <c r="C127" s="2">
        <f t="shared" si="6"/>
        <v>-7.0365723368928879E-2</v>
      </c>
      <c r="D127">
        <f t="shared" si="9"/>
        <v>712.43160399999999</v>
      </c>
      <c r="E127">
        <f t="shared" si="10"/>
        <v>0</v>
      </c>
      <c r="F127" s="2">
        <f t="shared" si="11"/>
        <v>-7.0365723368928879E-2</v>
      </c>
      <c r="G127" s="2">
        <f t="shared" si="7"/>
        <v>1.0183410675426698</v>
      </c>
      <c r="H127" s="2">
        <f t="shared" si="8"/>
        <v>1.1038147473430258</v>
      </c>
    </row>
    <row r="128" spans="1:8" x14ac:dyDescent="0.3">
      <c r="A128" s="1">
        <v>42678</v>
      </c>
      <c r="B128">
        <v>703.23498500000005</v>
      </c>
      <c r="C128" s="2">
        <f t="shared" si="6"/>
        <v>2.1104940825817931E-2</v>
      </c>
      <c r="D128">
        <f t="shared" si="9"/>
        <v>712.7057982</v>
      </c>
      <c r="E128">
        <f t="shared" si="10"/>
        <v>0</v>
      </c>
      <c r="F128" s="2">
        <f t="shared" si="11"/>
        <v>0</v>
      </c>
      <c r="G128" s="2">
        <f t="shared" si="7"/>
        <v>1.0398330955136581</v>
      </c>
      <c r="H128" s="2">
        <f t="shared" si="8"/>
        <v>1.1038147473430258</v>
      </c>
    </row>
    <row r="129" spans="1:8" x14ac:dyDescent="0.3">
      <c r="A129" s="1">
        <v>42679</v>
      </c>
      <c r="B129">
        <v>703.41803000000004</v>
      </c>
      <c r="C129" s="2">
        <f t="shared" si="6"/>
        <v>2.6028995130267241E-4</v>
      </c>
      <c r="D129">
        <f t="shared" si="9"/>
        <v>713.19500719999996</v>
      </c>
      <c r="E129">
        <f t="shared" si="10"/>
        <v>0</v>
      </c>
      <c r="F129" s="2">
        <f t="shared" si="11"/>
        <v>0</v>
      </c>
      <c r="G129" s="2">
        <f t="shared" si="7"/>
        <v>1.0401037536194522</v>
      </c>
      <c r="H129" s="2">
        <f t="shared" si="8"/>
        <v>1.1038147473430258</v>
      </c>
    </row>
    <row r="130" spans="1:8" x14ac:dyDescent="0.3">
      <c r="A130" s="1">
        <v>42680</v>
      </c>
      <c r="B130">
        <v>711.521973</v>
      </c>
      <c r="C130" s="2">
        <f t="shared" si="6"/>
        <v>1.1520806482597568E-2</v>
      </c>
      <c r="D130">
        <f t="shared" si="9"/>
        <v>709.54079579999996</v>
      </c>
      <c r="E130">
        <f t="shared" si="10"/>
        <v>1</v>
      </c>
      <c r="F130" s="2">
        <f t="shared" si="11"/>
        <v>0</v>
      </c>
      <c r="G130" s="2">
        <f t="shared" si="7"/>
        <v>1.0520865876867251</v>
      </c>
      <c r="H130" s="2">
        <f t="shared" si="8"/>
        <v>1.1038147473430258</v>
      </c>
    </row>
    <row r="131" spans="1:8" x14ac:dyDescent="0.3">
      <c r="A131" s="1">
        <v>42681</v>
      </c>
      <c r="B131">
        <v>703.13098100000002</v>
      </c>
      <c r="C131" s="2">
        <f t="shared" si="6"/>
        <v>-1.1793018794094223E-2</v>
      </c>
      <c r="D131">
        <f t="shared" si="9"/>
        <v>702.00119620000009</v>
      </c>
      <c r="E131">
        <f t="shared" si="10"/>
        <v>1</v>
      </c>
      <c r="F131" s="2">
        <f t="shared" si="11"/>
        <v>-1.1793018794094223E-2</v>
      </c>
      <c r="G131" s="2">
        <f t="shared" si="7"/>
        <v>1.0396793107851212</v>
      </c>
      <c r="H131" s="2">
        <f t="shared" si="8"/>
        <v>1.0907974392824111</v>
      </c>
    </row>
    <row r="132" spans="1:8" x14ac:dyDescent="0.3">
      <c r="A132" s="1">
        <v>42682</v>
      </c>
      <c r="B132">
        <v>709.84802200000001</v>
      </c>
      <c r="C132" s="2">
        <f t="shared" ref="C132:C195" si="12">B132/B131-1</f>
        <v>9.5530437166158055E-3</v>
      </c>
      <c r="D132">
        <f t="shared" si="9"/>
        <v>706.23079819999998</v>
      </c>
      <c r="E132">
        <f t="shared" si="10"/>
        <v>1</v>
      </c>
      <c r="F132" s="2">
        <f t="shared" si="11"/>
        <v>9.5530437166158055E-3</v>
      </c>
      <c r="G132" s="2">
        <f t="shared" ref="G132:G195" si="13">(1+C132)*G131</f>
        <v>1.0496114126923124</v>
      </c>
      <c r="H132" s="2">
        <f t="shared" ref="H132:H195" si="14">(1+F132)*H131</f>
        <v>1.1012178749058485</v>
      </c>
    </row>
    <row r="133" spans="1:8" x14ac:dyDescent="0.3">
      <c r="A133" s="1">
        <v>42683</v>
      </c>
      <c r="B133">
        <v>723.27301</v>
      </c>
      <c r="C133" s="2">
        <f t="shared" si="12"/>
        <v>1.8912482086200777E-2</v>
      </c>
      <c r="D133">
        <f t="shared" si="9"/>
        <v>710.23840319999999</v>
      </c>
      <c r="E133">
        <f t="shared" si="10"/>
        <v>1</v>
      </c>
      <c r="F133" s="2">
        <f t="shared" si="11"/>
        <v>1.8912482086200777E-2</v>
      </c>
      <c r="G133" s="2">
        <f t="shared" si="13"/>
        <v>1.0694621697323277</v>
      </c>
      <c r="H133" s="2">
        <f t="shared" si="14"/>
        <v>1.1220446382380096</v>
      </c>
    </row>
    <row r="134" spans="1:8" x14ac:dyDescent="0.3">
      <c r="A134" s="1">
        <v>42684</v>
      </c>
      <c r="B134">
        <v>715.533997</v>
      </c>
      <c r="C134" s="2">
        <f t="shared" si="12"/>
        <v>-1.0699988652970727E-2</v>
      </c>
      <c r="D134">
        <f t="shared" si="9"/>
        <v>712.66159660000005</v>
      </c>
      <c r="E134">
        <f t="shared" si="10"/>
        <v>1</v>
      </c>
      <c r="F134" s="2">
        <f t="shared" si="11"/>
        <v>-1.0699988652970727E-2</v>
      </c>
      <c r="G134" s="2">
        <f t="shared" si="13"/>
        <v>1.0580189366514103</v>
      </c>
      <c r="H134" s="2">
        <f t="shared" si="14"/>
        <v>1.1100387733407362</v>
      </c>
    </row>
    <row r="135" spans="1:8" x14ac:dyDescent="0.3">
      <c r="A135" s="1">
        <v>42685</v>
      </c>
      <c r="B135">
        <v>716.41101100000003</v>
      </c>
      <c r="C135" s="2">
        <f t="shared" si="12"/>
        <v>1.2256776109549339E-3</v>
      </c>
      <c r="D135">
        <f t="shared" ref="D135:D198" si="15">AVERAGE(B131:B135)</f>
        <v>713.63940419999994</v>
      </c>
      <c r="E135">
        <f t="shared" ref="E135:E198" si="16">IF(B135&gt;D135,1,0)</f>
        <v>1</v>
      </c>
      <c r="F135" s="2">
        <f t="shared" si="11"/>
        <v>1.2256776109549339E-3</v>
      </c>
      <c r="G135" s="2">
        <f t="shared" si="13"/>
        <v>1.0593157267740303</v>
      </c>
      <c r="H135" s="2">
        <f t="shared" si="14"/>
        <v>1.1113993230125119</v>
      </c>
    </row>
    <row r="136" spans="1:8" x14ac:dyDescent="0.3">
      <c r="A136" s="1">
        <v>42686</v>
      </c>
      <c r="B136">
        <v>705.05401600000005</v>
      </c>
      <c r="C136" s="2">
        <f t="shared" si="12"/>
        <v>-1.5852624855873354E-2</v>
      </c>
      <c r="D136">
        <f t="shared" si="15"/>
        <v>714.02401120000002</v>
      </c>
      <c r="E136">
        <f t="shared" si="16"/>
        <v>0</v>
      </c>
      <c r="F136" s="2">
        <f t="shared" ref="F136:F199" si="17">E135*C136</f>
        <v>-1.5852624855873354E-2</v>
      </c>
      <c r="G136" s="2">
        <f t="shared" si="13"/>
        <v>1.0425227919535547</v>
      </c>
      <c r="H136" s="2">
        <f t="shared" si="14"/>
        <v>1.093780726479723</v>
      </c>
    </row>
    <row r="137" spans="1:8" x14ac:dyDescent="0.3">
      <c r="A137" s="1">
        <v>42687</v>
      </c>
      <c r="B137">
        <v>702.03100600000005</v>
      </c>
      <c r="C137" s="2">
        <f t="shared" si="12"/>
        <v>-4.2876289353693808E-3</v>
      </c>
      <c r="D137">
        <f t="shared" si="15"/>
        <v>712.46060800000009</v>
      </c>
      <c r="E137">
        <f t="shared" si="16"/>
        <v>0</v>
      </c>
      <c r="F137" s="2">
        <f t="shared" si="17"/>
        <v>0</v>
      </c>
      <c r="G137" s="2">
        <f t="shared" si="13"/>
        <v>1.0380528410649925</v>
      </c>
      <c r="H137" s="2">
        <f t="shared" si="14"/>
        <v>1.093780726479723</v>
      </c>
    </row>
    <row r="138" spans="1:8" x14ac:dyDescent="0.3">
      <c r="A138" s="1">
        <v>42688</v>
      </c>
      <c r="B138">
        <v>705.02099599999997</v>
      </c>
      <c r="C138" s="2">
        <f t="shared" si="12"/>
        <v>4.2590568998315259E-3</v>
      </c>
      <c r="D138">
        <f t="shared" si="15"/>
        <v>708.81020520000004</v>
      </c>
      <c r="E138">
        <f t="shared" si="16"/>
        <v>0</v>
      </c>
      <c r="F138" s="2">
        <f t="shared" si="17"/>
        <v>0</v>
      </c>
      <c r="G138" s="2">
        <f t="shared" si="13"/>
        <v>1.0424739671801202</v>
      </c>
      <c r="H138" s="2">
        <f t="shared" si="14"/>
        <v>1.093780726479723</v>
      </c>
    </row>
    <row r="139" spans="1:8" x14ac:dyDescent="0.3">
      <c r="A139" s="1">
        <v>42689</v>
      </c>
      <c r="B139">
        <v>711.61901899999998</v>
      </c>
      <c r="C139" s="2">
        <f t="shared" si="12"/>
        <v>9.358619158059911E-3</v>
      </c>
      <c r="D139">
        <f t="shared" si="15"/>
        <v>708.02720960000011</v>
      </c>
      <c r="E139">
        <f t="shared" si="16"/>
        <v>1</v>
      </c>
      <c r="F139" s="2">
        <f t="shared" si="17"/>
        <v>0</v>
      </c>
      <c r="G139" s="2">
        <f t="shared" si="13"/>
        <v>1.0522300840211507</v>
      </c>
      <c r="H139" s="2">
        <f t="shared" si="14"/>
        <v>1.093780726479723</v>
      </c>
    </row>
    <row r="140" spans="1:8" x14ac:dyDescent="0.3">
      <c r="A140" s="1">
        <v>42690</v>
      </c>
      <c r="B140">
        <v>744.19799799999998</v>
      </c>
      <c r="C140" s="2">
        <f t="shared" si="12"/>
        <v>4.5781489996967073E-2</v>
      </c>
      <c r="D140">
        <f t="shared" si="15"/>
        <v>713.58460700000001</v>
      </c>
      <c r="E140">
        <f t="shared" si="16"/>
        <v>1</v>
      </c>
      <c r="F140" s="2">
        <f t="shared" si="17"/>
        <v>4.5781489996967073E-2</v>
      </c>
      <c r="G140" s="2">
        <f t="shared" si="13"/>
        <v>1.1004027450872729</v>
      </c>
      <c r="H140" s="2">
        <f t="shared" si="14"/>
        <v>1.1438556378679299</v>
      </c>
    </row>
    <row r="141" spans="1:8" x14ac:dyDescent="0.3">
      <c r="A141" s="1">
        <v>42691</v>
      </c>
      <c r="B141">
        <v>740.97699</v>
      </c>
      <c r="C141" s="2">
        <f t="shared" si="12"/>
        <v>-4.3281599905620194E-3</v>
      </c>
      <c r="D141">
        <f t="shared" si="15"/>
        <v>720.76920180000002</v>
      </c>
      <c r="E141">
        <f t="shared" si="16"/>
        <v>1</v>
      </c>
      <c r="F141" s="2">
        <f t="shared" si="17"/>
        <v>-4.3281599905620194E-3</v>
      </c>
      <c r="G141" s="2">
        <f t="shared" si="13"/>
        <v>1.0956400259524814</v>
      </c>
      <c r="H141" s="2">
        <f t="shared" si="14"/>
        <v>1.1389048476611312</v>
      </c>
    </row>
    <row r="142" spans="1:8" x14ac:dyDescent="0.3">
      <c r="A142" s="1">
        <v>42692</v>
      </c>
      <c r="B142">
        <v>751.58502199999998</v>
      </c>
      <c r="C142" s="2">
        <f t="shared" si="12"/>
        <v>1.4316277216651407E-2</v>
      </c>
      <c r="D142">
        <f t="shared" si="15"/>
        <v>730.68000499999994</v>
      </c>
      <c r="E142">
        <f t="shared" si="16"/>
        <v>1</v>
      </c>
      <c r="F142" s="2">
        <f t="shared" si="17"/>
        <v>1.4316277216651407E-2</v>
      </c>
      <c r="G142" s="2">
        <f t="shared" si="13"/>
        <v>1.1113255122936763</v>
      </c>
      <c r="H142" s="2">
        <f t="shared" si="14"/>
        <v>1.1552097251836362</v>
      </c>
    </row>
    <row r="143" spans="1:8" x14ac:dyDescent="0.3">
      <c r="A143" s="1">
        <v>42693</v>
      </c>
      <c r="B143">
        <v>751.61602800000003</v>
      </c>
      <c r="C143" s="2">
        <f t="shared" si="12"/>
        <v>4.1254148356317799E-5</v>
      </c>
      <c r="D143">
        <f t="shared" si="15"/>
        <v>739.99901139999997</v>
      </c>
      <c r="E143">
        <f t="shared" si="16"/>
        <v>1</v>
      </c>
      <c r="F143" s="2">
        <f t="shared" si="17"/>
        <v>4.1254148356317799E-5</v>
      </c>
      <c r="G143" s="2">
        <f t="shared" si="13"/>
        <v>1.1113713590812326</v>
      </c>
      <c r="H143" s="2">
        <f t="shared" si="14"/>
        <v>1.1552573823770216</v>
      </c>
    </row>
    <row r="144" spans="1:8" x14ac:dyDescent="0.3">
      <c r="A144" s="1">
        <v>42694</v>
      </c>
      <c r="B144">
        <v>731.02600099999995</v>
      </c>
      <c r="C144" s="2">
        <f t="shared" si="12"/>
        <v>-2.7394342633683233E-2</v>
      </c>
      <c r="D144">
        <f t="shared" si="15"/>
        <v>743.88040779999994</v>
      </c>
      <c r="E144">
        <f t="shared" si="16"/>
        <v>0</v>
      </c>
      <c r="F144" s="2">
        <f t="shared" si="17"/>
        <v>-2.7394342633683233E-2</v>
      </c>
      <c r="G144" s="2">
        <f t="shared" si="13"/>
        <v>1.0809260712772992</v>
      </c>
      <c r="H144" s="2">
        <f t="shared" si="14"/>
        <v>1.1236098658140934</v>
      </c>
    </row>
    <row r="145" spans="1:8" x14ac:dyDescent="0.3">
      <c r="A145" s="1">
        <v>42695</v>
      </c>
      <c r="B145">
        <v>739.24798599999997</v>
      </c>
      <c r="C145" s="2">
        <f t="shared" si="12"/>
        <v>1.1247185447238239E-2</v>
      </c>
      <c r="D145">
        <f t="shared" si="15"/>
        <v>742.89040539999996</v>
      </c>
      <c r="E145">
        <f t="shared" si="16"/>
        <v>0</v>
      </c>
      <c r="F145" s="2">
        <f t="shared" si="17"/>
        <v>0</v>
      </c>
      <c r="G145" s="2">
        <f t="shared" si="13"/>
        <v>1.0930834472557096</v>
      </c>
      <c r="H145" s="2">
        <f t="shared" si="14"/>
        <v>1.1236098658140934</v>
      </c>
    </row>
    <row r="146" spans="1:8" x14ac:dyDescent="0.3">
      <c r="A146" s="1">
        <v>42696</v>
      </c>
      <c r="B146">
        <v>751.34698500000002</v>
      </c>
      <c r="C146" s="2">
        <f t="shared" si="12"/>
        <v>1.6366630994108622E-2</v>
      </c>
      <c r="D146">
        <f t="shared" si="15"/>
        <v>744.96440439999992</v>
      </c>
      <c r="E146">
        <f t="shared" si="16"/>
        <v>1</v>
      </c>
      <c r="F146" s="2">
        <f t="shared" si="17"/>
        <v>0</v>
      </c>
      <c r="G146" s="2">
        <f t="shared" si="13"/>
        <v>1.1109735406827119</v>
      </c>
      <c r="H146" s="2">
        <f t="shared" si="14"/>
        <v>1.1236098658140934</v>
      </c>
    </row>
    <row r="147" spans="1:8" x14ac:dyDescent="0.3">
      <c r="A147" s="1">
        <v>42697</v>
      </c>
      <c r="B147">
        <v>744.59399399999995</v>
      </c>
      <c r="C147" s="2">
        <f t="shared" si="12"/>
        <v>-8.9878460083260281E-3</v>
      </c>
      <c r="D147">
        <f t="shared" si="15"/>
        <v>743.56619879999994</v>
      </c>
      <c r="E147">
        <f t="shared" si="16"/>
        <v>1</v>
      </c>
      <c r="F147" s="2">
        <f t="shared" si="17"/>
        <v>-8.9878460083260281E-3</v>
      </c>
      <c r="G147" s="2">
        <f t="shared" si="13"/>
        <v>1.1009882815797309</v>
      </c>
      <c r="H147" s="2">
        <f t="shared" si="14"/>
        <v>1.1135110333667204</v>
      </c>
    </row>
    <row r="148" spans="1:8" x14ac:dyDescent="0.3">
      <c r="A148" s="1">
        <v>42698</v>
      </c>
      <c r="B148">
        <v>740.28900099999998</v>
      </c>
      <c r="C148" s="2">
        <f t="shared" si="12"/>
        <v>-5.7816649539077503E-3</v>
      </c>
      <c r="D148">
        <f t="shared" si="15"/>
        <v>741.30079339999998</v>
      </c>
      <c r="E148">
        <f t="shared" si="16"/>
        <v>0</v>
      </c>
      <c r="F148" s="2">
        <f t="shared" si="17"/>
        <v>-5.7816649539077503E-3</v>
      </c>
      <c r="G148" s="2">
        <f t="shared" si="13"/>
        <v>1.0946227362174583</v>
      </c>
      <c r="H148" s="2">
        <f t="shared" si="14"/>
        <v>1.1070730856493145</v>
      </c>
    </row>
    <row r="149" spans="1:8" x14ac:dyDescent="0.3">
      <c r="A149" s="1">
        <v>42699</v>
      </c>
      <c r="B149">
        <v>741.64898700000003</v>
      </c>
      <c r="C149" s="2">
        <f t="shared" si="12"/>
        <v>1.8371014538416386E-3</v>
      </c>
      <c r="D149">
        <f t="shared" si="15"/>
        <v>743.42539060000001</v>
      </c>
      <c r="E149">
        <f t="shared" si="16"/>
        <v>0</v>
      </c>
      <c r="F149" s="2">
        <f t="shared" si="17"/>
        <v>0</v>
      </c>
      <c r="G149" s="2">
        <f t="shared" si="13"/>
        <v>1.0966336692375716</v>
      </c>
      <c r="H149" s="2">
        <f t="shared" si="14"/>
        <v>1.1070730856493145</v>
      </c>
    </row>
    <row r="150" spans="1:8" x14ac:dyDescent="0.3">
      <c r="A150" s="1">
        <v>42700</v>
      </c>
      <c r="B150">
        <v>735.38201900000001</v>
      </c>
      <c r="C150" s="2">
        <f t="shared" si="12"/>
        <v>-8.4500459244880588E-3</v>
      </c>
      <c r="D150">
        <f t="shared" si="15"/>
        <v>742.65219720000005</v>
      </c>
      <c r="E150">
        <f t="shared" si="16"/>
        <v>0</v>
      </c>
      <c r="F150" s="2">
        <f t="shared" si="17"/>
        <v>0</v>
      </c>
      <c r="G150" s="2">
        <f t="shared" si="13"/>
        <v>1.0873670643701743</v>
      </c>
      <c r="H150" s="2">
        <f t="shared" si="14"/>
        <v>1.1070730856493145</v>
      </c>
    </row>
    <row r="151" spans="1:8" x14ac:dyDescent="0.3">
      <c r="A151" s="1">
        <v>42701</v>
      </c>
      <c r="B151">
        <v>732.03497300000004</v>
      </c>
      <c r="C151" s="2">
        <f t="shared" si="12"/>
        <v>-4.5514384544667053E-3</v>
      </c>
      <c r="D151">
        <f t="shared" si="15"/>
        <v>738.78979479999998</v>
      </c>
      <c r="E151">
        <f t="shared" si="16"/>
        <v>0</v>
      </c>
      <c r="F151" s="2">
        <f t="shared" si="17"/>
        <v>0</v>
      </c>
      <c r="G151" s="2">
        <f t="shared" si="13"/>
        <v>1.0824179800992793</v>
      </c>
      <c r="H151" s="2">
        <f t="shared" si="14"/>
        <v>1.1070730856493145</v>
      </c>
    </row>
    <row r="152" spans="1:8" x14ac:dyDescent="0.3">
      <c r="A152" s="1">
        <v>42702</v>
      </c>
      <c r="B152">
        <v>735.81298800000002</v>
      </c>
      <c r="C152" s="2">
        <f t="shared" si="12"/>
        <v>5.1609760999764553E-3</v>
      </c>
      <c r="D152">
        <f t="shared" si="15"/>
        <v>737.03359360000002</v>
      </c>
      <c r="E152">
        <f t="shared" si="16"/>
        <v>0</v>
      </c>
      <c r="F152" s="2">
        <f t="shared" si="17"/>
        <v>0</v>
      </c>
      <c r="G152" s="2">
        <f t="shared" si="13"/>
        <v>1.0880043134247563</v>
      </c>
      <c r="H152" s="2">
        <f t="shared" si="14"/>
        <v>1.1070730856493145</v>
      </c>
    </row>
    <row r="153" spans="1:8" x14ac:dyDescent="0.3">
      <c r="A153" s="1">
        <v>42703</v>
      </c>
      <c r="B153">
        <v>735.60400400000003</v>
      </c>
      <c r="C153" s="2">
        <f t="shared" si="12"/>
        <v>-2.8401781894071831E-4</v>
      </c>
      <c r="D153">
        <f t="shared" si="15"/>
        <v>736.09659420000003</v>
      </c>
      <c r="E153">
        <f t="shared" si="16"/>
        <v>0</v>
      </c>
      <c r="F153" s="2">
        <f t="shared" si="17"/>
        <v>0</v>
      </c>
      <c r="G153" s="2">
        <f t="shared" si="13"/>
        <v>1.0876953008126593</v>
      </c>
      <c r="H153" s="2">
        <f t="shared" si="14"/>
        <v>1.1070730856493145</v>
      </c>
    </row>
    <row r="154" spans="1:8" x14ac:dyDescent="0.3">
      <c r="A154" s="1">
        <v>42704</v>
      </c>
      <c r="B154">
        <v>745.69097899999997</v>
      </c>
      <c r="C154" s="2">
        <f t="shared" si="12"/>
        <v>1.3712506926484735E-2</v>
      </c>
      <c r="D154">
        <f t="shared" si="15"/>
        <v>736.90499260000001</v>
      </c>
      <c r="E154">
        <f t="shared" si="16"/>
        <v>1</v>
      </c>
      <c r="F154" s="2">
        <f t="shared" si="17"/>
        <v>0</v>
      </c>
      <c r="G154" s="2">
        <f t="shared" si="13"/>
        <v>1.1026103301589578</v>
      </c>
      <c r="H154" s="2">
        <f t="shared" si="14"/>
        <v>1.1070730856493145</v>
      </c>
    </row>
    <row r="155" spans="1:8" x14ac:dyDescent="0.3">
      <c r="A155" s="1">
        <v>42705</v>
      </c>
      <c r="B155">
        <v>756.77398700000003</v>
      </c>
      <c r="C155" s="2">
        <f t="shared" si="12"/>
        <v>1.486273578750108E-2</v>
      </c>
      <c r="D155">
        <f t="shared" si="15"/>
        <v>741.18338620000009</v>
      </c>
      <c r="E155">
        <f t="shared" si="16"/>
        <v>1</v>
      </c>
      <c r="F155" s="2">
        <f t="shared" si="17"/>
        <v>1.486273578750108E-2</v>
      </c>
      <c r="G155" s="2">
        <f t="shared" si="13"/>
        <v>1.1189981361726797</v>
      </c>
      <c r="H155" s="2">
        <f t="shared" si="14"/>
        <v>1.1235272204187738</v>
      </c>
    </row>
    <row r="156" spans="1:8" x14ac:dyDescent="0.3">
      <c r="A156" s="1">
        <v>42706</v>
      </c>
      <c r="B156">
        <v>777.94397000000004</v>
      </c>
      <c r="C156" s="2">
        <f t="shared" si="12"/>
        <v>2.7973983466215602E-2</v>
      </c>
      <c r="D156">
        <f t="shared" si="15"/>
        <v>750.36518560000002</v>
      </c>
      <c r="E156">
        <f t="shared" si="16"/>
        <v>1</v>
      </c>
      <c r="F156" s="2">
        <f t="shared" si="17"/>
        <v>2.7973983466215602E-2</v>
      </c>
      <c r="G156" s="2">
        <f t="shared" si="13"/>
        <v>1.1503009715327004</v>
      </c>
      <c r="H156" s="2">
        <f t="shared" si="14"/>
        <v>1.1549567523066118</v>
      </c>
    </row>
    <row r="157" spans="1:8" x14ac:dyDescent="0.3">
      <c r="A157" s="1">
        <v>42707</v>
      </c>
      <c r="B157">
        <v>771.15502900000001</v>
      </c>
      <c r="C157" s="2">
        <f t="shared" si="12"/>
        <v>-8.7267737289614677E-3</v>
      </c>
      <c r="D157">
        <f t="shared" si="15"/>
        <v>757.43359380000015</v>
      </c>
      <c r="E157">
        <f t="shared" si="16"/>
        <v>1</v>
      </c>
      <c r="F157" s="2">
        <f t="shared" si="17"/>
        <v>-8.7267737289614677E-3</v>
      </c>
      <c r="G157" s="2">
        <f t="shared" si="13"/>
        <v>1.1402625552339301</v>
      </c>
      <c r="H157" s="2">
        <f t="shared" si="14"/>
        <v>1.1448777060624957</v>
      </c>
    </row>
    <row r="158" spans="1:8" x14ac:dyDescent="0.3">
      <c r="A158" s="1">
        <v>42708</v>
      </c>
      <c r="B158">
        <v>773.87200900000005</v>
      </c>
      <c r="C158" s="2">
        <f t="shared" si="12"/>
        <v>3.5232604312045446E-3</v>
      </c>
      <c r="D158">
        <f t="shared" si="15"/>
        <v>765.08719480000002</v>
      </c>
      <c r="E158">
        <f t="shared" si="16"/>
        <v>1</v>
      </c>
      <c r="F158" s="2">
        <f t="shared" si="17"/>
        <v>3.5232604312045446E-3</v>
      </c>
      <c r="G158" s="2">
        <f t="shared" si="13"/>
        <v>1.1442799971759698</v>
      </c>
      <c r="H158" s="2">
        <f t="shared" si="14"/>
        <v>1.148911408382834</v>
      </c>
    </row>
    <row r="159" spans="1:8" x14ac:dyDescent="0.3">
      <c r="A159" s="1">
        <v>42709</v>
      </c>
      <c r="B159">
        <v>758.70001200000002</v>
      </c>
      <c r="C159" s="2">
        <f t="shared" si="12"/>
        <v>-1.9605305300556486E-2</v>
      </c>
      <c r="D159">
        <f t="shared" si="15"/>
        <v>767.68900140000005</v>
      </c>
      <c r="E159">
        <f t="shared" si="16"/>
        <v>0</v>
      </c>
      <c r="F159" s="2">
        <f t="shared" si="17"/>
        <v>-1.9605305300556486E-2</v>
      </c>
      <c r="G159" s="2">
        <f t="shared" si="13"/>
        <v>1.121846038482015</v>
      </c>
      <c r="H159" s="2">
        <f t="shared" si="14"/>
        <v>1.1263866494581962</v>
      </c>
    </row>
    <row r="160" spans="1:8" x14ac:dyDescent="0.3">
      <c r="A160" s="1">
        <v>42710</v>
      </c>
      <c r="B160">
        <v>764.22399900000005</v>
      </c>
      <c r="C160" s="2">
        <f t="shared" si="12"/>
        <v>7.2808579315009059E-3</v>
      </c>
      <c r="D160">
        <f t="shared" si="15"/>
        <v>769.17900379999992</v>
      </c>
      <c r="E160">
        <f t="shared" si="16"/>
        <v>0</v>
      </c>
      <c r="F160" s="2">
        <f t="shared" si="17"/>
        <v>0</v>
      </c>
      <c r="G160" s="2">
        <f t="shared" si="13"/>
        <v>1.1300140401092196</v>
      </c>
      <c r="H160" s="2">
        <f t="shared" si="14"/>
        <v>1.1263866494581962</v>
      </c>
    </row>
    <row r="161" spans="1:8" x14ac:dyDescent="0.3">
      <c r="A161" s="1">
        <v>42711</v>
      </c>
      <c r="B161">
        <v>768.13201900000001</v>
      </c>
      <c r="C161" s="2">
        <f t="shared" si="12"/>
        <v>5.1137101230969151E-3</v>
      </c>
      <c r="D161">
        <f t="shared" si="15"/>
        <v>767.21661360000007</v>
      </c>
      <c r="E161">
        <f t="shared" si="16"/>
        <v>1</v>
      </c>
      <c r="F161" s="2">
        <f t="shared" si="17"/>
        <v>0</v>
      </c>
      <c r="G161" s="2">
        <f t="shared" si="13"/>
        <v>1.1357926043453677</v>
      </c>
      <c r="H161" s="2">
        <f t="shared" si="14"/>
        <v>1.1263866494581962</v>
      </c>
    </row>
    <row r="162" spans="1:8" x14ac:dyDescent="0.3">
      <c r="A162" s="1">
        <v>42712</v>
      </c>
      <c r="B162">
        <v>770.80999799999995</v>
      </c>
      <c r="C162" s="2">
        <f t="shared" si="12"/>
        <v>3.486352519826319E-3</v>
      </c>
      <c r="D162">
        <f t="shared" si="15"/>
        <v>767.14760739999997</v>
      </c>
      <c r="E162">
        <f t="shared" si="16"/>
        <v>1</v>
      </c>
      <c r="F162" s="2">
        <f t="shared" si="17"/>
        <v>3.486352519826319E-3</v>
      </c>
      <c r="G162" s="2">
        <f t="shared" si="13"/>
        <v>1.1397523777535272</v>
      </c>
      <c r="H162" s="2">
        <f t="shared" si="14"/>
        <v>1.1303136303918335</v>
      </c>
    </row>
    <row r="163" spans="1:8" x14ac:dyDescent="0.3">
      <c r="A163" s="1">
        <v>42713</v>
      </c>
      <c r="B163">
        <v>772.79400599999997</v>
      </c>
      <c r="C163" s="2">
        <f t="shared" si="12"/>
        <v>2.5739261363342258E-3</v>
      </c>
      <c r="D163">
        <f t="shared" si="15"/>
        <v>766.93200680000007</v>
      </c>
      <c r="E163">
        <f t="shared" si="16"/>
        <v>1</v>
      </c>
      <c r="F163" s="2">
        <f t="shared" si="17"/>
        <v>2.5739261363342258E-3</v>
      </c>
      <c r="G163" s="2">
        <f t="shared" si="13"/>
        <v>1.142686016187576</v>
      </c>
      <c r="H163" s="2">
        <f t="shared" si="14"/>
        <v>1.1332229741873538</v>
      </c>
    </row>
    <row r="164" spans="1:8" x14ac:dyDescent="0.3">
      <c r="A164" s="1">
        <v>42714</v>
      </c>
      <c r="B164">
        <v>774.65002400000003</v>
      </c>
      <c r="C164" s="2">
        <f t="shared" si="12"/>
        <v>2.4016982347039306E-3</v>
      </c>
      <c r="D164">
        <f t="shared" si="15"/>
        <v>770.12200920000009</v>
      </c>
      <c r="E164">
        <f t="shared" si="16"/>
        <v>1</v>
      </c>
      <c r="F164" s="2">
        <f t="shared" si="17"/>
        <v>2.4016982347039306E-3</v>
      </c>
      <c r="G164" s="2">
        <f t="shared" si="13"/>
        <v>1.1454304031754745</v>
      </c>
      <c r="H164" s="2">
        <f t="shared" si="14"/>
        <v>1.1359446338039856</v>
      </c>
    </row>
    <row r="165" spans="1:8" x14ac:dyDescent="0.3">
      <c r="A165" s="1">
        <v>42715</v>
      </c>
      <c r="B165">
        <v>769.73101799999995</v>
      </c>
      <c r="C165" s="2">
        <f t="shared" si="12"/>
        <v>-6.34997204879717E-3</v>
      </c>
      <c r="D165">
        <f t="shared" si="15"/>
        <v>771.22341299999994</v>
      </c>
      <c r="E165">
        <f t="shared" si="16"/>
        <v>0</v>
      </c>
      <c r="F165" s="2">
        <f t="shared" si="17"/>
        <v>-6.34997204879717E-3</v>
      </c>
      <c r="G165" s="2">
        <f t="shared" si="13"/>
        <v>1.1381569521314678</v>
      </c>
      <c r="H165" s="2">
        <f t="shared" si="14"/>
        <v>1.1287314171303491</v>
      </c>
    </row>
    <row r="166" spans="1:8" x14ac:dyDescent="0.3">
      <c r="A166" s="1">
        <v>42716</v>
      </c>
      <c r="B166">
        <v>780.08697500000005</v>
      </c>
      <c r="C166" s="2">
        <f t="shared" si="12"/>
        <v>1.3453994652454115E-2</v>
      </c>
      <c r="D166">
        <f t="shared" si="15"/>
        <v>773.61440419999997</v>
      </c>
      <c r="E166">
        <f t="shared" si="16"/>
        <v>1</v>
      </c>
      <c r="F166" s="2">
        <f t="shared" si="17"/>
        <v>0</v>
      </c>
      <c r="G166" s="2">
        <f t="shared" si="13"/>
        <v>1.153469709679098</v>
      </c>
      <c r="H166" s="2">
        <f t="shared" si="14"/>
        <v>1.1287314171303491</v>
      </c>
    </row>
    <row r="167" spans="1:8" x14ac:dyDescent="0.3">
      <c r="A167" s="1">
        <v>42717</v>
      </c>
      <c r="B167">
        <v>780.55602999999996</v>
      </c>
      <c r="C167" s="2">
        <f t="shared" si="12"/>
        <v>6.0128551691285281E-4</v>
      </c>
      <c r="D167">
        <f t="shared" si="15"/>
        <v>775.56361059999995</v>
      </c>
      <c r="E167">
        <f t="shared" si="16"/>
        <v>1</v>
      </c>
      <c r="F167" s="2">
        <f t="shared" si="17"/>
        <v>6.0128551691285281E-4</v>
      </c>
      <c r="G167" s="2">
        <f t="shared" si="13"/>
        <v>1.1541632743097257</v>
      </c>
      <c r="H167" s="2">
        <f t="shared" si="14"/>
        <v>1.1294101069839542</v>
      </c>
    </row>
    <row r="168" spans="1:8" x14ac:dyDescent="0.3">
      <c r="A168" s="1">
        <v>42718</v>
      </c>
      <c r="B168">
        <v>781.48101799999995</v>
      </c>
      <c r="C168" s="2">
        <f t="shared" si="12"/>
        <v>1.185037286817181E-3</v>
      </c>
      <c r="D168">
        <f t="shared" si="15"/>
        <v>777.30101300000001</v>
      </c>
      <c r="E168">
        <f t="shared" si="16"/>
        <v>1</v>
      </c>
      <c r="F168" s="2">
        <f t="shared" si="17"/>
        <v>1.185037286817181E-3</v>
      </c>
      <c r="G168" s="2">
        <f t="shared" si="13"/>
        <v>1.1555310008248576</v>
      </c>
      <c r="H168" s="2">
        <f t="shared" si="14"/>
        <v>1.1307485000728383</v>
      </c>
    </row>
    <row r="169" spans="1:8" x14ac:dyDescent="0.3">
      <c r="A169" s="1">
        <v>42719</v>
      </c>
      <c r="B169">
        <v>778.08801300000005</v>
      </c>
      <c r="C169" s="2">
        <f t="shared" si="12"/>
        <v>-4.3417625276215288E-3</v>
      </c>
      <c r="D169">
        <f t="shared" si="15"/>
        <v>777.98861080000006</v>
      </c>
      <c r="E169">
        <f t="shared" si="16"/>
        <v>1</v>
      </c>
      <c r="F169" s="2">
        <f t="shared" si="17"/>
        <v>-4.3417625276215288E-3</v>
      </c>
      <c r="G169" s="2">
        <f t="shared" si="13"/>
        <v>1.1505139596259712</v>
      </c>
      <c r="H169" s="2">
        <f t="shared" si="14"/>
        <v>1.1258390586070579</v>
      </c>
    </row>
    <row r="170" spans="1:8" x14ac:dyDescent="0.3">
      <c r="A170" s="1">
        <v>42720</v>
      </c>
      <c r="B170">
        <v>784.90698199999997</v>
      </c>
      <c r="C170" s="2">
        <f t="shared" si="12"/>
        <v>8.7637502262869482E-3</v>
      </c>
      <c r="D170">
        <f t="shared" si="15"/>
        <v>781.02380359999995</v>
      </c>
      <c r="E170">
        <f t="shared" si="16"/>
        <v>1</v>
      </c>
      <c r="F170" s="2">
        <f t="shared" si="17"/>
        <v>8.7637502262869482E-3</v>
      </c>
      <c r="G170" s="2">
        <f t="shared" si="13"/>
        <v>1.1605967765999896</v>
      </c>
      <c r="H170" s="2">
        <f t="shared" si="14"/>
        <v>1.1357056309116882</v>
      </c>
    </row>
    <row r="171" spans="1:8" x14ac:dyDescent="0.3">
      <c r="A171" s="1">
        <v>42721</v>
      </c>
      <c r="B171">
        <v>790.828979</v>
      </c>
      <c r="C171" s="2">
        <f t="shared" si="12"/>
        <v>7.5448392431296529E-3</v>
      </c>
      <c r="D171">
        <f t="shared" si="15"/>
        <v>783.17220439999994</v>
      </c>
      <c r="E171">
        <f t="shared" si="16"/>
        <v>1</v>
      </c>
      <c r="F171" s="2">
        <f t="shared" si="17"/>
        <v>7.5448392431296529E-3</v>
      </c>
      <c r="G171" s="2">
        <f t="shared" si="13"/>
        <v>1.169353292705531</v>
      </c>
      <c r="H171" s="2">
        <f t="shared" si="14"/>
        <v>1.1442743473244341</v>
      </c>
    </row>
    <row r="172" spans="1:8" x14ac:dyDescent="0.3">
      <c r="A172" s="1">
        <v>42722</v>
      </c>
      <c r="B172">
        <v>790.53002900000001</v>
      </c>
      <c r="C172" s="2">
        <f t="shared" si="12"/>
        <v>-3.7802104872031173E-4</v>
      </c>
      <c r="D172">
        <f t="shared" si="15"/>
        <v>785.16700419999995</v>
      </c>
      <c r="E172">
        <f t="shared" si="16"/>
        <v>1</v>
      </c>
      <c r="F172" s="2">
        <f t="shared" si="17"/>
        <v>-3.7802104872031173E-4</v>
      </c>
      <c r="G172" s="2">
        <f t="shared" si="13"/>
        <v>1.1689112525474978</v>
      </c>
      <c r="H172" s="2">
        <f t="shared" si="14"/>
        <v>1.1438417875356348</v>
      </c>
    </row>
    <row r="173" spans="1:8" x14ac:dyDescent="0.3">
      <c r="A173" s="1">
        <v>42723</v>
      </c>
      <c r="B173">
        <v>792.71398899999997</v>
      </c>
      <c r="C173" s="2">
        <f t="shared" si="12"/>
        <v>2.7626528024022878E-3</v>
      </c>
      <c r="D173">
        <f t="shared" si="15"/>
        <v>787.41359839999996</v>
      </c>
      <c r="E173">
        <f t="shared" si="16"/>
        <v>1</v>
      </c>
      <c r="F173" s="2">
        <f t="shared" si="17"/>
        <v>2.7626528024022878E-3</v>
      </c>
      <c r="G173" s="2">
        <f t="shared" si="13"/>
        <v>1.1721405484951077</v>
      </c>
      <c r="H173" s="2">
        <f t="shared" si="14"/>
        <v>1.147001825255475</v>
      </c>
    </row>
    <row r="174" spans="1:8" x14ac:dyDescent="0.3">
      <c r="A174" s="1">
        <v>42724</v>
      </c>
      <c r="B174">
        <v>800.87597700000003</v>
      </c>
      <c r="C174" s="2">
        <f t="shared" si="12"/>
        <v>1.0296258314169915E-2</v>
      </c>
      <c r="D174">
        <f t="shared" si="15"/>
        <v>791.97119120000002</v>
      </c>
      <c r="E174">
        <f t="shared" si="16"/>
        <v>1</v>
      </c>
      <c r="F174" s="2">
        <f t="shared" si="17"/>
        <v>1.0296258314169915E-2</v>
      </c>
      <c r="G174" s="2">
        <f t="shared" si="13"/>
        <v>1.1842092103629263</v>
      </c>
      <c r="H174" s="2">
        <f t="shared" si="14"/>
        <v>1.1588116523351297</v>
      </c>
    </row>
    <row r="175" spans="1:8" x14ac:dyDescent="0.3">
      <c r="A175" s="1">
        <v>42725</v>
      </c>
      <c r="B175">
        <v>834.28100600000005</v>
      </c>
      <c r="C175" s="2">
        <f t="shared" si="12"/>
        <v>4.1710614326492701E-2</v>
      </c>
      <c r="D175">
        <f t="shared" si="15"/>
        <v>801.84599600000001</v>
      </c>
      <c r="E175">
        <f t="shared" si="16"/>
        <v>1</v>
      </c>
      <c r="F175" s="2">
        <f t="shared" si="17"/>
        <v>4.1710614326492701E-2</v>
      </c>
      <c r="G175" s="2">
        <f t="shared" si="13"/>
        <v>1.2336033040182548</v>
      </c>
      <c r="H175" s="2">
        <f t="shared" si="14"/>
        <v>1.207146398242726</v>
      </c>
    </row>
    <row r="176" spans="1:8" x14ac:dyDescent="0.3">
      <c r="A176" s="1">
        <v>42726</v>
      </c>
      <c r="B176">
        <v>864.53997800000002</v>
      </c>
      <c r="C176" s="2">
        <f t="shared" si="12"/>
        <v>3.6269520440214809E-2</v>
      </c>
      <c r="D176">
        <f t="shared" si="15"/>
        <v>816.58819579999999</v>
      </c>
      <c r="E176">
        <f t="shared" si="16"/>
        <v>1</v>
      </c>
      <c r="F176" s="2">
        <f t="shared" si="17"/>
        <v>3.6269520440214809E-2</v>
      </c>
      <c r="G176" s="2">
        <f t="shared" si="13"/>
        <v>1.2783455042684615</v>
      </c>
      <c r="H176" s="2">
        <f t="shared" si="14"/>
        <v>1.2509290192081222</v>
      </c>
    </row>
    <row r="177" spans="1:8" x14ac:dyDescent="0.3">
      <c r="A177" s="1">
        <v>42727</v>
      </c>
      <c r="B177">
        <v>921.98400900000001</v>
      </c>
      <c r="C177" s="2">
        <f t="shared" si="12"/>
        <v>6.644462079462099E-2</v>
      </c>
      <c r="D177">
        <f t="shared" si="15"/>
        <v>842.87899179999999</v>
      </c>
      <c r="E177">
        <f t="shared" si="16"/>
        <v>1</v>
      </c>
      <c r="F177" s="2">
        <f t="shared" si="17"/>
        <v>6.644462079462099E-2</v>
      </c>
      <c r="G177" s="2">
        <f t="shared" si="13"/>
        <v>1.363284686544088</v>
      </c>
      <c r="H177" s="2">
        <f t="shared" si="14"/>
        <v>1.3340465235303931</v>
      </c>
    </row>
    <row r="178" spans="1:8" x14ac:dyDescent="0.3">
      <c r="A178" s="1">
        <v>42728</v>
      </c>
      <c r="B178">
        <v>898.82202099999995</v>
      </c>
      <c r="C178" s="2">
        <f t="shared" si="12"/>
        <v>-2.5121897748662692E-2</v>
      </c>
      <c r="D178">
        <f t="shared" si="15"/>
        <v>864.10059820000004</v>
      </c>
      <c r="E178">
        <f t="shared" si="16"/>
        <v>1</v>
      </c>
      <c r="F178" s="2">
        <f t="shared" si="17"/>
        <v>-2.5121897748662692E-2</v>
      </c>
      <c r="G178" s="2">
        <f t="shared" si="13"/>
        <v>1.3290363880464098</v>
      </c>
      <c r="H178" s="2">
        <f t="shared" si="14"/>
        <v>1.3005327431743037</v>
      </c>
    </row>
    <row r="179" spans="1:8" x14ac:dyDescent="0.3">
      <c r="A179" s="1">
        <v>42729</v>
      </c>
      <c r="B179">
        <v>896.18298300000004</v>
      </c>
      <c r="C179" s="2">
        <f t="shared" si="12"/>
        <v>-2.9361074143063881E-3</v>
      </c>
      <c r="D179">
        <f t="shared" si="15"/>
        <v>883.1619993999999</v>
      </c>
      <c r="E179">
        <f t="shared" si="16"/>
        <v>1</v>
      </c>
      <c r="F179" s="2">
        <f t="shared" si="17"/>
        <v>-2.9361074143063881E-3</v>
      </c>
      <c r="G179" s="2">
        <f t="shared" si="13"/>
        <v>1.3251341944535837</v>
      </c>
      <c r="H179" s="2">
        <f t="shared" si="14"/>
        <v>1.2967142393445215</v>
      </c>
    </row>
    <row r="180" spans="1:8" x14ac:dyDescent="0.3">
      <c r="A180" s="1">
        <v>42730</v>
      </c>
      <c r="B180">
        <v>907.60998500000005</v>
      </c>
      <c r="C180" s="2">
        <f t="shared" si="12"/>
        <v>1.2750746462232287E-2</v>
      </c>
      <c r="D180">
        <f t="shared" si="15"/>
        <v>897.82779520000008</v>
      </c>
      <c r="E180">
        <f t="shared" si="16"/>
        <v>1</v>
      </c>
      <c r="F180" s="2">
        <f t="shared" si="17"/>
        <v>1.2750746462232287E-2</v>
      </c>
      <c r="G180" s="2">
        <f t="shared" si="13"/>
        <v>1.3420306445954957</v>
      </c>
      <c r="H180" s="2">
        <f t="shared" si="14"/>
        <v>1.3132483138443698</v>
      </c>
    </row>
    <row r="181" spans="1:8" x14ac:dyDescent="0.3">
      <c r="A181" s="1">
        <v>42731</v>
      </c>
      <c r="B181">
        <v>933.19799799999998</v>
      </c>
      <c r="C181" s="2">
        <f t="shared" si="12"/>
        <v>2.8192740739845457E-2</v>
      </c>
      <c r="D181">
        <f t="shared" si="15"/>
        <v>911.55939920000003</v>
      </c>
      <c r="E181">
        <f t="shared" si="16"/>
        <v>1</v>
      </c>
      <c r="F181" s="2">
        <f t="shared" si="17"/>
        <v>2.8192740739845457E-2</v>
      </c>
      <c r="G181" s="2">
        <f t="shared" si="13"/>
        <v>1.3798661666235041</v>
      </c>
      <c r="H181" s="2">
        <f t="shared" si="14"/>
        <v>1.3502723830836234</v>
      </c>
    </row>
    <row r="182" spans="1:8" x14ac:dyDescent="0.3">
      <c r="A182" s="1">
        <v>42732</v>
      </c>
      <c r="B182">
        <v>975.921021</v>
      </c>
      <c r="C182" s="2">
        <f t="shared" si="12"/>
        <v>4.5781305887456547E-2</v>
      </c>
      <c r="D182">
        <f t="shared" si="15"/>
        <v>922.34680160000005</v>
      </c>
      <c r="E182">
        <f t="shared" si="16"/>
        <v>1</v>
      </c>
      <c r="F182" s="2">
        <f t="shared" si="17"/>
        <v>4.5781305887456547E-2</v>
      </c>
      <c r="G182" s="2">
        <f t="shared" si="13"/>
        <v>1.4430382416814469</v>
      </c>
      <c r="H182" s="2">
        <f t="shared" si="14"/>
        <v>1.4120896160849596</v>
      </c>
    </row>
    <row r="183" spans="1:8" x14ac:dyDescent="0.3">
      <c r="A183" s="1">
        <v>42733</v>
      </c>
      <c r="B183">
        <v>973.49700900000005</v>
      </c>
      <c r="C183" s="2">
        <f t="shared" si="12"/>
        <v>-2.4838198459093963E-3</v>
      </c>
      <c r="D183">
        <f t="shared" si="15"/>
        <v>937.28179920000002</v>
      </c>
      <c r="E183">
        <f t="shared" si="16"/>
        <v>1</v>
      </c>
      <c r="F183" s="2">
        <f t="shared" si="17"/>
        <v>-2.4838198459093963E-3</v>
      </c>
      <c r="G183" s="2">
        <f t="shared" si="13"/>
        <v>1.4394539946583522</v>
      </c>
      <c r="H183" s="2">
        <f t="shared" si="14"/>
        <v>1.4085822398723253</v>
      </c>
    </row>
    <row r="184" spans="1:8" x14ac:dyDescent="0.3">
      <c r="A184" s="1">
        <v>42734</v>
      </c>
      <c r="B184">
        <v>961.237976</v>
      </c>
      <c r="C184" s="2">
        <f t="shared" si="12"/>
        <v>-1.2592779316900837E-2</v>
      </c>
      <c r="D184">
        <f t="shared" si="15"/>
        <v>950.29279780000013</v>
      </c>
      <c r="E184">
        <f t="shared" si="16"/>
        <v>1</v>
      </c>
      <c r="F184" s="2">
        <f t="shared" si="17"/>
        <v>-1.2592779316900837E-2</v>
      </c>
      <c r="G184" s="2">
        <f t="shared" si="13"/>
        <v>1.4213272681667883</v>
      </c>
      <c r="H184" s="2">
        <f t="shared" si="14"/>
        <v>1.3908442745759073</v>
      </c>
    </row>
    <row r="185" spans="1:8" x14ac:dyDescent="0.3">
      <c r="A185" s="1">
        <v>42735</v>
      </c>
      <c r="B185">
        <v>963.74298099999999</v>
      </c>
      <c r="C185" s="2">
        <f t="shared" si="12"/>
        <v>2.6060195940489361E-3</v>
      </c>
      <c r="D185">
        <f t="shared" si="15"/>
        <v>961.51939700000003</v>
      </c>
      <c r="E185">
        <f t="shared" si="16"/>
        <v>1</v>
      </c>
      <c r="F185" s="2">
        <f t="shared" si="17"/>
        <v>2.6060195940489361E-3</v>
      </c>
      <c r="G185" s="2">
        <f t="shared" si="13"/>
        <v>1.4250312748771869</v>
      </c>
      <c r="H185" s="2">
        <f t="shared" si="14"/>
        <v>1.3944688420077229</v>
      </c>
    </row>
    <row r="186" spans="1:8" x14ac:dyDescent="0.3">
      <c r="A186" s="1">
        <v>42736</v>
      </c>
      <c r="B186">
        <v>998.32501200000002</v>
      </c>
      <c r="C186" s="2">
        <f t="shared" si="12"/>
        <v>3.5883043178293272E-2</v>
      </c>
      <c r="D186">
        <f t="shared" si="15"/>
        <v>974.54479979999996</v>
      </c>
      <c r="E186">
        <f t="shared" si="16"/>
        <v>1</v>
      </c>
      <c r="F186" s="2">
        <f t="shared" si="17"/>
        <v>3.5883043178293272E-2</v>
      </c>
      <c r="G186" s="2">
        <f t="shared" si="13"/>
        <v>1.4761657336440233</v>
      </c>
      <c r="H186" s="2">
        <f t="shared" si="14"/>
        <v>1.4445066276762706</v>
      </c>
    </row>
    <row r="187" spans="1:8" x14ac:dyDescent="0.3">
      <c r="A187" s="1">
        <v>42737</v>
      </c>
      <c r="B187">
        <v>1021.75</v>
      </c>
      <c r="C187" s="2">
        <f t="shared" si="12"/>
        <v>2.3464290404856536E-2</v>
      </c>
      <c r="D187">
        <f t="shared" si="15"/>
        <v>983.71059559999992</v>
      </c>
      <c r="E187">
        <f t="shared" si="16"/>
        <v>1</v>
      </c>
      <c r="F187" s="2">
        <f t="shared" si="17"/>
        <v>2.3464290404856536E-2</v>
      </c>
      <c r="G187" s="2">
        <f t="shared" si="13"/>
        <v>1.5108029151039448</v>
      </c>
      <c r="H187" s="2">
        <f t="shared" si="14"/>
        <v>1.4784009506798066</v>
      </c>
    </row>
    <row r="188" spans="1:8" x14ac:dyDescent="0.3">
      <c r="A188" s="1">
        <v>42738</v>
      </c>
      <c r="B188">
        <v>1043.839966</v>
      </c>
      <c r="C188" s="2">
        <f t="shared" si="12"/>
        <v>2.1619736726204986E-2</v>
      </c>
      <c r="D188">
        <f t="shared" si="15"/>
        <v>997.77918700000009</v>
      </c>
      <c r="E188">
        <f t="shared" si="16"/>
        <v>1</v>
      </c>
      <c r="F188" s="2">
        <f t="shared" si="17"/>
        <v>2.1619736726204986E-2</v>
      </c>
      <c r="G188" s="2">
        <f t="shared" si="13"/>
        <v>1.5434660763736752</v>
      </c>
      <c r="H188" s="2">
        <f t="shared" si="14"/>
        <v>1.5103635900092751</v>
      </c>
    </row>
    <row r="189" spans="1:8" x14ac:dyDescent="0.3">
      <c r="A189" s="1">
        <v>42739</v>
      </c>
      <c r="B189">
        <v>1154.7299800000001</v>
      </c>
      <c r="C189" s="2">
        <f t="shared" si="12"/>
        <v>0.10623277285016308</v>
      </c>
      <c r="D189">
        <f t="shared" si="15"/>
        <v>1036.4775878</v>
      </c>
      <c r="E189">
        <f t="shared" si="16"/>
        <v>1</v>
      </c>
      <c r="F189" s="2">
        <f t="shared" si="17"/>
        <v>0.10623277285016308</v>
      </c>
      <c r="G189" s="2">
        <f t="shared" si="13"/>
        <v>1.7074327574670123</v>
      </c>
      <c r="H189" s="2">
        <f t="shared" si="14"/>
        <v>1.6708137021878873</v>
      </c>
    </row>
    <row r="190" spans="1:8" x14ac:dyDescent="0.3">
      <c r="A190" s="1">
        <v>42740</v>
      </c>
      <c r="B190">
        <v>1013.380005</v>
      </c>
      <c r="C190" s="2">
        <f t="shared" si="12"/>
        <v>-0.12240954807460713</v>
      </c>
      <c r="D190">
        <f t="shared" si="15"/>
        <v>1046.4049926</v>
      </c>
      <c r="E190">
        <f t="shared" si="16"/>
        <v>0</v>
      </c>
      <c r="F190" s="2">
        <f t="shared" si="17"/>
        <v>-0.12240954807460713</v>
      </c>
      <c r="G190" s="2">
        <f t="shared" si="13"/>
        <v>1.4984266852576951</v>
      </c>
      <c r="H190" s="2">
        <f t="shared" si="14"/>
        <v>1.4662901519862068</v>
      </c>
    </row>
    <row r="191" spans="1:8" x14ac:dyDescent="0.3">
      <c r="A191" s="1">
        <v>42741</v>
      </c>
      <c r="B191">
        <v>902.20098900000005</v>
      </c>
      <c r="C191" s="2">
        <f t="shared" si="12"/>
        <v>-0.10971108118518669</v>
      </c>
      <c r="D191">
        <f t="shared" si="15"/>
        <v>1027.180188</v>
      </c>
      <c r="E191">
        <f t="shared" si="16"/>
        <v>0</v>
      </c>
      <c r="F191" s="2">
        <f t="shared" si="17"/>
        <v>0</v>
      </c>
      <c r="G191" s="2">
        <f t="shared" si="13"/>
        <v>1.3340326735413379</v>
      </c>
      <c r="H191" s="2">
        <f t="shared" si="14"/>
        <v>1.4662901519862068</v>
      </c>
    </row>
    <row r="192" spans="1:8" x14ac:dyDescent="0.3">
      <c r="A192" s="1">
        <v>42742</v>
      </c>
      <c r="B192">
        <v>908.58502199999998</v>
      </c>
      <c r="C192" s="2">
        <f t="shared" si="12"/>
        <v>7.0760651759824711E-3</v>
      </c>
      <c r="D192">
        <f t="shared" si="15"/>
        <v>1004.5471924000001</v>
      </c>
      <c r="E192">
        <f t="shared" si="16"/>
        <v>0</v>
      </c>
      <c r="F192" s="2">
        <f t="shared" si="17"/>
        <v>0</v>
      </c>
      <c r="G192" s="2">
        <f t="shared" si="13"/>
        <v>1.3434723756862066</v>
      </c>
      <c r="H192" s="2">
        <f t="shared" si="14"/>
        <v>1.4662901519862068</v>
      </c>
    </row>
    <row r="193" spans="1:8" x14ac:dyDescent="0.3">
      <c r="A193" s="1">
        <v>42743</v>
      </c>
      <c r="B193">
        <v>911.19897500000002</v>
      </c>
      <c r="C193" s="2">
        <f t="shared" si="12"/>
        <v>2.8769492526370399E-3</v>
      </c>
      <c r="D193">
        <f t="shared" si="15"/>
        <v>978.01899420000007</v>
      </c>
      <c r="E193">
        <f t="shared" si="16"/>
        <v>0</v>
      </c>
      <c r="F193" s="2">
        <f t="shared" si="17"/>
        <v>0</v>
      </c>
      <c r="G193" s="2">
        <f t="shared" si="13"/>
        <v>1.3473374775333755</v>
      </c>
      <c r="H193" s="2">
        <f t="shared" si="14"/>
        <v>1.4662901519862068</v>
      </c>
    </row>
    <row r="194" spans="1:8" x14ac:dyDescent="0.3">
      <c r="A194" s="1">
        <v>42744</v>
      </c>
      <c r="B194">
        <v>902.82800299999997</v>
      </c>
      <c r="C194" s="2">
        <f t="shared" si="12"/>
        <v>-9.1867662603549727E-3</v>
      </c>
      <c r="D194">
        <f t="shared" si="15"/>
        <v>927.63859879999995</v>
      </c>
      <c r="E194">
        <f t="shared" si="16"/>
        <v>0</v>
      </c>
      <c r="F194" s="2">
        <f t="shared" si="17"/>
        <v>0</v>
      </c>
      <c r="G194" s="2">
        <f t="shared" si="13"/>
        <v>1.3349598030534602</v>
      </c>
      <c r="H194" s="2">
        <f t="shared" si="14"/>
        <v>1.4662901519862068</v>
      </c>
    </row>
    <row r="195" spans="1:8" x14ac:dyDescent="0.3">
      <c r="A195" s="1">
        <v>42745</v>
      </c>
      <c r="B195">
        <v>907.67901600000005</v>
      </c>
      <c r="C195" s="2">
        <f t="shared" si="12"/>
        <v>5.3731308553575108E-3</v>
      </c>
      <c r="D195">
        <f t="shared" si="15"/>
        <v>906.49840100000006</v>
      </c>
      <c r="E195">
        <f t="shared" si="16"/>
        <v>1</v>
      </c>
      <c r="F195" s="2">
        <f t="shared" si="17"/>
        <v>0</v>
      </c>
      <c r="G195" s="2">
        <f t="shared" si="13"/>
        <v>1.3421327167619088</v>
      </c>
      <c r="H195" s="2">
        <f t="shared" si="14"/>
        <v>1.4662901519862068</v>
      </c>
    </row>
    <row r="196" spans="1:8" x14ac:dyDescent="0.3">
      <c r="A196" s="1">
        <v>42746</v>
      </c>
      <c r="B196">
        <v>777.75701900000001</v>
      </c>
      <c r="C196" s="2">
        <f t="shared" ref="C196:C259" si="18">B196/B195-1</f>
        <v>-0.14313649947813711</v>
      </c>
      <c r="D196">
        <f t="shared" si="15"/>
        <v>881.60960699999998</v>
      </c>
      <c r="E196">
        <f t="shared" si="16"/>
        <v>0</v>
      </c>
      <c r="F196" s="2">
        <f t="shared" si="17"/>
        <v>-0.14313649947813711</v>
      </c>
      <c r="G196" s="2">
        <f t="shared" ref="G196:G259" si="19">(1+C196)*G195</f>
        <v>1.1500245378495271</v>
      </c>
      <c r="H196" s="2">
        <f t="shared" ref="H196:H259" si="20">(1+F196)*H195</f>
        <v>1.2564105124116356</v>
      </c>
    </row>
    <row r="197" spans="1:8" x14ac:dyDescent="0.3">
      <c r="A197" s="1">
        <v>42747</v>
      </c>
      <c r="B197">
        <v>804.83398399999999</v>
      </c>
      <c r="C197" s="2">
        <f t="shared" si="18"/>
        <v>3.4814169899506808E-2</v>
      </c>
      <c r="D197">
        <f t="shared" si="15"/>
        <v>860.85939940000003</v>
      </c>
      <c r="E197">
        <f t="shared" si="16"/>
        <v>0</v>
      </c>
      <c r="F197" s="2">
        <f t="shared" si="17"/>
        <v>0</v>
      </c>
      <c r="G197" s="2">
        <f t="shared" si="19"/>
        <v>1.1900616874988224</v>
      </c>
      <c r="H197" s="2">
        <f t="shared" si="20"/>
        <v>1.2564105124116356</v>
      </c>
    </row>
    <row r="198" spans="1:8" x14ac:dyDescent="0.3">
      <c r="A198" s="1">
        <v>42748</v>
      </c>
      <c r="B198">
        <v>823.98400900000001</v>
      </c>
      <c r="C198" s="2">
        <f t="shared" si="18"/>
        <v>2.3793757943501692E-2</v>
      </c>
      <c r="D198">
        <f t="shared" si="15"/>
        <v>843.41640619999998</v>
      </c>
      <c r="E198">
        <f t="shared" si="16"/>
        <v>0</v>
      </c>
      <c r="F198" s="2">
        <f t="shared" si="17"/>
        <v>0</v>
      </c>
      <c r="G198" s="2">
        <f t="shared" si="19"/>
        <v>1.2183777272290044</v>
      </c>
      <c r="H198" s="2">
        <f t="shared" si="20"/>
        <v>1.2564105124116356</v>
      </c>
    </row>
    <row r="199" spans="1:8" x14ac:dyDescent="0.3">
      <c r="A199" s="1">
        <v>42749</v>
      </c>
      <c r="B199">
        <v>818.41198699999995</v>
      </c>
      <c r="C199" s="2">
        <f t="shared" si="18"/>
        <v>-6.762293854176038E-3</v>
      </c>
      <c r="D199">
        <f t="shared" ref="D199:D262" si="21">AVERAGE(B195:B199)</f>
        <v>826.53320300000019</v>
      </c>
      <c r="E199">
        <f t="shared" ref="E199:E262" si="22">IF(B199&gt;D199,1,0)</f>
        <v>0</v>
      </c>
      <c r="F199" s="2">
        <f t="shared" si="17"/>
        <v>0</v>
      </c>
      <c r="G199" s="2">
        <f t="shared" si="19"/>
        <v>1.2101386990120988</v>
      </c>
      <c r="H199" s="2">
        <f t="shared" si="20"/>
        <v>1.2564105124116356</v>
      </c>
    </row>
    <row r="200" spans="1:8" x14ac:dyDescent="0.3">
      <c r="A200" s="1">
        <v>42750</v>
      </c>
      <c r="B200">
        <v>821.79797399999995</v>
      </c>
      <c r="C200" s="2">
        <f t="shared" si="18"/>
        <v>4.1372646708313088E-3</v>
      </c>
      <c r="D200">
        <f t="shared" si="21"/>
        <v>809.35699460000001</v>
      </c>
      <c r="E200">
        <f t="shared" si="22"/>
        <v>1</v>
      </c>
      <c r="F200" s="2">
        <f t="shared" ref="F200:F263" si="23">E199*C200</f>
        <v>0</v>
      </c>
      <c r="G200" s="2">
        <f t="shared" si="19"/>
        <v>1.2151453630983273</v>
      </c>
      <c r="H200" s="2">
        <f t="shared" si="20"/>
        <v>1.2564105124116356</v>
      </c>
    </row>
    <row r="201" spans="1:8" x14ac:dyDescent="0.3">
      <c r="A201" s="1">
        <v>42751</v>
      </c>
      <c r="B201">
        <v>831.533997</v>
      </c>
      <c r="C201" s="2">
        <f t="shared" si="18"/>
        <v>1.1847221954820686E-2</v>
      </c>
      <c r="D201">
        <f t="shared" si="21"/>
        <v>820.11239019999994</v>
      </c>
      <c r="E201">
        <f t="shared" si="22"/>
        <v>1</v>
      </c>
      <c r="F201" s="2">
        <f t="shared" si="23"/>
        <v>1.1847221954820686E-2</v>
      </c>
      <c r="G201" s="2">
        <f t="shared" si="19"/>
        <v>1.2295414599223244</v>
      </c>
      <c r="H201" s="2">
        <f t="shared" si="20"/>
        <v>1.2712954866185462</v>
      </c>
    </row>
    <row r="202" spans="1:8" x14ac:dyDescent="0.3">
      <c r="A202" s="1">
        <v>42752</v>
      </c>
      <c r="B202">
        <v>907.93798800000002</v>
      </c>
      <c r="C202" s="2">
        <f t="shared" si="18"/>
        <v>9.1883183701026772E-2</v>
      </c>
      <c r="D202">
        <f t="shared" si="21"/>
        <v>840.73319099999992</v>
      </c>
      <c r="E202">
        <f t="shared" si="22"/>
        <v>1</v>
      </c>
      <c r="F202" s="2">
        <f t="shared" si="23"/>
        <v>9.1883183701026772E-2</v>
      </c>
      <c r="G202" s="2">
        <f t="shared" si="19"/>
        <v>1.342515643752396</v>
      </c>
      <c r="H202" s="2">
        <f t="shared" si="20"/>
        <v>1.3881061633538043</v>
      </c>
    </row>
    <row r="203" spans="1:8" x14ac:dyDescent="0.3">
      <c r="A203" s="1">
        <v>42753</v>
      </c>
      <c r="B203">
        <v>886.61798099999999</v>
      </c>
      <c r="C203" s="2">
        <f t="shared" si="18"/>
        <v>-2.3481787613010452E-2</v>
      </c>
      <c r="D203">
        <f t="shared" si="21"/>
        <v>853.25998540000001</v>
      </c>
      <c r="E203">
        <f t="shared" si="22"/>
        <v>1</v>
      </c>
      <c r="F203" s="2">
        <f t="shared" si="23"/>
        <v>-2.3481787613010452E-2</v>
      </c>
      <c r="G203" s="2">
        <f t="shared" si="19"/>
        <v>1.3109909765386583</v>
      </c>
      <c r="H203" s="2">
        <f t="shared" si="20"/>
        <v>1.3555109492416195</v>
      </c>
    </row>
    <row r="204" spans="1:8" x14ac:dyDescent="0.3">
      <c r="A204" s="1">
        <v>42754</v>
      </c>
      <c r="B204">
        <v>899.07299799999998</v>
      </c>
      <c r="C204" s="2">
        <f t="shared" si="18"/>
        <v>1.404778299888787E-2</v>
      </c>
      <c r="D204">
        <f t="shared" si="21"/>
        <v>869.39218760000006</v>
      </c>
      <c r="E204">
        <f t="shared" si="22"/>
        <v>1</v>
      </c>
      <c r="F204" s="2">
        <f t="shared" si="23"/>
        <v>1.404778299888787E-2</v>
      </c>
      <c r="G204" s="2">
        <f t="shared" si="19"/>
        <v>1.3294074932905735</v>
      </c>
      <c r="H204" s="2">
        <f t="shared" si="20"/>
        <v>1.3745528729091823</v>
      </c>
    </row>
    <row r="205" spans="1:8" x14ac:dyDescent="0.3">
      <c r="A205" s="1">
        <v>42755</v>
      </c>
      <c r="B205">
        <v>895.02600099999995</v>
      </c>
      <c r="C205" s="2">
        <f t="shared" si="18"/>
        <v>-4.5012996820087414E-3</v>
      </c>
      <c r="D205">
        <f t="shared" si="21"/>
        <v>884.03779300000008</v>
      </c>
      <c r="E205">
        <f t="shared" si="22"/>
        <v>1</v>
      </c>
      <c r="F205" s="2">
        <f t="shared" si="23"/>
        <v>-4.5012996820087414E-3</v>
      </c>
      <c r="G205" s="2">
        <f t="shared" si="19"/>
        <v>1.3234234317637645</v>
      </c>
      <c r="H205" s="2">
        <f t="shared" si="20"/>
        <v>1.3683655984994521</v>
      </c>
    </row>
    <row r="206" spans="1:8" x14ac:dyDescent="0.3">
      <c r="A206" s="1">
        <v>42756</v>
      </c>
      <c r="B206">
        <v>921.78900099999998</v>
      </c>
      <c r="C206" s="2">
        <f t="shared" si="18"/>
        <v>2.990192460341734E-2</v>
      </c>
      <c r="D206">
        <f t="shared" si="21"/>
        <v>902.08879379999996</v>
      </c>
      <c r="E206">
        <f t="shared" si="22"/>
        <v>1</v>
      </c>
      <c r="F206" s="2">
        <f t="shared" si="23"/>
        <v>2.990192460341734E-2</v>
      </c>
      <c r="G206" s="2">
        <f t="shared" si="19"/>
        <v>1.3629963394387605</v>
      </c>
      <c r="H206" s="2">
        <f t="shared" si="20"/>
        <v>1.4092823634556928</v>
      </c>
    </row>
    <row r="207" spans="1:8" x14ac:dyDescent="0.3">
      <c r="A207" s="1">
        <v>42757</v>
      </c>
      <c r="B207">
        <v>924.67297399999995</v>
      </c>
      <c r="C207" s="2">
        <f t="shared" si="18"/>
        <v>3.1286693558627565E-3</v>
      </c>
      <c r="D207">
        <f t="shared" si="21"/>
        <v>905.43579100000011</v>
      </c>
      <c r="E207">
        <f t="shared" si="22"/>
        <v>1</v>
      </c>
      <c r="F207" s="2">
        <f t="shared" si="23"/>
        <v>3.1286693558627565E-3</v>
      </c>
      <c r="G207" s="2">
        <f t="shared" si="19"/>
        <v>1.3672607043181157</v>
      </c>
      <c r="H207" s="2">
        <f t="shared" si="20"/>
        <v>1.4136915419999945</v>
      </c>
    </row>
    <row r="208" spans="1:8" x14ac:dyDescent="0.3">
      <c r="A208" s="1">
        <v>42758</v>
      </c>
      <c r="B208">
        <v>921.012024</v>
      </c>
      <c r="C208" s="2">
        <f t="shared" si="18"/>
        <v>-3.9591835199457304E-3</v>
      </c>
      <c r="D208">
        <f t="shared" si="21"/>
        <v>912.31459959999995</v>
      </c>
      <c r="E208">
        <f t="shared" si="22"/>
        <v>1</v>
      </c>
      <c r="F208" s="2">
        <f t="shared" si="23"/>
        <v>-3.9591835199457304E-3</v>
      </c>
      <c r="G208" s="2">
        <f t="shared" si="19"/>
        <v>1.3618474682701101</v>
      </c>
      <c r="H208" s="2">
        <f t="shared" si="20"/>
        <v>1.4080944777446214</v>
      </c>
    </row>
    <row r="209" spans="1:8" x14ac:dyDescent="0.3">
      <c r="A209" s="1">
        <v>42759</v>
      </c>
      <c r="B209">
        <v>892.68701199999998</v>
      </c>
      <c r="C209" s="2">
        <f t="shared" si="18"/>
        <v>-3.0754226070777158E-2</v>
      </c>
      <c r="D209">
        <f t="shared" si="21"/>
        <v>911.03740240000002</v>
      </c>
      <c r="E209">
        <f t="shared" si="22"/>
        <v>0</v>
      </c>
      <c r="F209" s="2">
        <f t="shared" si="23"/>
        <v>-3.0754226070777158E-2</v>
      </c>
      <c r="G209" s="2">
        <f t="shared" si="19"/>
        <v>1.3199649033570156</v>
      </c>
      <c r="H209" s="2">
        <f t="shared" si="20"/>
        <v>1.3647896218470503</v>
      </c>
    </row>
    <row r="210" spans="1:8" x14ac:dyDescent="0.3">
      <c r="A210" s="1">
        <v>42760</v>
      </c>
      <c r="B210">
        <v>901.54199200000005</v>
      </c>
      <c r="C210" s="2">
        <f t="shared" si="18"/>
        <v>9.9194677204512693E-3</v>
      </c>
      <c r="D210">
        <f t="shared" si="21"/>
        <v>912.3406005999999</v>
      </c>
      <c r="E210">
        <f t="shared" si="22"/>
        <v>0</v>
      </c>
      <c r="F210" s="2">
        <f t="shared" si="23"/>
        <v>0</v>
      </c>
      <c r="G210" s="2">
        <f t="shared" si="19"/>
        <v>1.3330582526079942</v>
      </c>
      <c r="H210" s="2">
        <f t="shared" si="20"/>
        <v>1.3647896218470503</v>
      </c>
    </row>
    <row r="211" spans="1:8" x14ac:dyDescent="0.3">
      <c r="A211" s="1">
        <v>42761</v>
      </c>
      <c r="B211">
        <v>917.58599900000002</v>
      </c>
      <c r="C211" s="2">
        <f t="shared" si="18"/>
        <v>1.7796183807708754E-2</v>
      </c>
      <c r="D211">
        <f t="shared" si="21"/>
        <v>911.50000020000004</v>
      </c>
      <c r="E211">
        <f t="shared" si="22"/>
        <v>1</v>
      </c>
      <c r="F211" s="2">
        <f t="shared" si="23"/>
        <v>0</v>
      </c>
      <c r="G211" s="2">
        <f t="shared" si="19"/>
        <v>1.356781602297789</v>
      </c>
      <c r="H211" s="2">
        <f t="shared" si="20"/>
        <v>1.3647896218470503</v>
      </c>
    </row>
    <row r="212" spans="1:8" x14ac:dyDescent="0.3">
      <c r="A212" s="1">
        <v>42762</v>
      </c>
      <c r="B212">
        <v>919.75</v>
      </c>
      <c r="C212" s="2">
        <f t="shared" si="18"/>
        <v>2.3583631423740314E-3</v>
      </c>
      <c r="D212">
        <f t="shared" si="21"/>
        <v>910.51540539999985</v>
      </c>
      <c r="E212">
        <f t="shared" si="22"/>
        <v>1</v>
      </c>
      <c r="F212" s="2">
        <f t="shared" si="23"/>
        <v>2.3583631423740314E-3</v>
      </c>
      <c r="G212" s="2">
        <f t="shared" si="19"/>
        <v>1.3599813860208994</v>
      </c>
      <c r="H212" s="2">
        <f t="shared" si="20"/>
        <v>1.3680082913883089</v>
      </c>
    </row>
    <row r="213" spans="1:8" x14ac:dyDescent="0.3">
      <c r="A213" s="1">
        <v>42763</v>
      </c>
      <c r="B213">
        <v>921.59002699999996</v>
      </c>
      <c r="C213" s="2">
        <f t="shared" si="18"/>
        <v>2.0005729817884621E-3</v>
      </c>
      <c r="D213">
        <f t="shared" si="21"/>
        <v>910.63100599999996</v>
      </c>
      <c r="E213">
        <f t="shared" si="22"/>
        <v>1</v>
      </c>
      <c r="F213" s="2">
        <f t="shared" si="23"/>
        <v>2.0005729817884621E-3</v>
      </c>
      <c r="G213" s="2">
        <f t="shared" si="19"/>
        <v>1.362702128037508</v>
      </c>
      <c r="H213" s="2">
        <f t="shared" si="20"/>
        <v>1.3707450918149229</v>
      </c>
    </row>
    <row r="214" spans="1:8" x14ac:dyDescent="0.3">
      <c r="A214" s="1">
        <v>42764</v>
      </c>
      <c r="B214">
        <v>919.49597200000005</v>
      </c>
      <c r="C214" s="2">
        <f t="shared" si="18"/>
        <v>-2.2722196840785358E-3</v>
      </c>
      <c r="D214">
        <f t="shared" si="21"/>
        <v>915.99279799999999</v>
      </c>
      <c r="E214">
        <f t="shared" si="22"/>
        <v>1</v>
      </c>
      <c r="F214" s="2">
        <f t="shared" si="23"/>
        <v>-2.2722196840785358E-3</v>
      </c>
      <c r="G214" s="2">
        <f t="shared" si="19"/>
        <v>1.3596057694386454</v>
      </c>
      <c r="H214" s="2">
        <f t="shared" si="20"/>
        <v>1.367630457835447</v>
      </c>
    </row>
    <row r="215" spans="1:8" x14ac:dyDescent="0.3">
      <c r="A215" s="1">
        <v>42765</v>
      </c>
      <c r="B215">
        <v>920.38201900000001</v>
      </c>
      <c r="C215" s="2">
        <f t="shared" si="18"/>
        <v>9.6362249208414852E-4</v>
      </c>
      <c r="D215">
        <f t="shared" si="21"/>
        <v>919.7608034000001</v>
      </c>
      <c r="E215">
        <f t="shared" si="22"/>
        <v>1</v>
      </c>
      <c r="F215" s="2">
        <f t="shared" si="23"/>
        <v>9.6362249208414852E-4</v>
      </c>
      <c r="G215" s="2">
        <f t="shared" si="19"/>
        <v>1.3609159161384439</v>
      </c>
      <c r="H215" s="2">
        <f t="shared" si="20"/>
        <v>1.3689483373054765</v>
      </c>
    </row>
    <row r="216" spans="1:8" x14ac:dyDescent="0.3">
      <c r="A216" s="1">
        <v>42766</v>
      </c>
      <c r="B216">
        <v>970.40301499999998</v>
      </c>
      <c r="C216" s="2">
        <f t="shared" si="18"/>
        <v>5.4348080435500101E-2</v>
      </c>
      <c r="D216">
        <f t="shared" si="21"/>
        <v>930.32420660000002</v>
      </c>
      <c r="E216">
        <f t="shared" si="22"/>
        <v>1</v>
      </c>
      <c r="F216" s="2">
        <f t="shared" si="23"/>
        <v>5.4348080435500101E-2</v>
      </c>
      <c r="G216" s="2">
        <f t="shared" si="19"/>
        <v>1.4348790838146883</v>
      </c>
      <c r="H216" s="2">
        <f t="shared" si="20"/>
        <v>1.4433480516533987</v>
      </c>
    </row>
    <row r="217" spans="1:8" x14ac:dyDescent="0.3">
      <c r="A217" s="1">
        <v>42767</v>
      </c>
      <c r="B217">
        <v>989.02301</v>
      </c>
      <c r="C217" s="2">
        <f t="shared" si="18"/>
        <v>1.9187898957630622E-2</v>
      </c>
      <c r="D217">
        <f t="shared" si="21"/>
        <v>944.17880860000002</v>
      </c>
      <c r="E217">
        <f t="shared" si="22"/>
        <v>1</v>
      </c>
      <c r="F217" s="2">
        <f t="shared" si="23"/>
        <v>1.9187898957630622E-2</v>
      </c>
      <c r="G217" s="2">
        <f t="shared" si="19"/>
        <v>1.4624113986913421</v>
      </c>
      <c r="H217" s="2">
        <f t="shared" si="20"/>
        <v>1.4710428682292171</v>
      </c>
    </row>
    <row r="218" spans="1:8" x14ac:dyDescent="0.3">
      <c r="A218" s="1">
        <v>42768</v>
      </c>
      <c r="B218">
        <v>1011.799988</v>
      </c>
      <c r="C218" s="2">
        <f t="shared" si="18"/>
        <v>2.3029775616646209E-2</v>
      </c>
      <c r="D218">
        <f t="shared" si="21"/>
        <v>962.22080080000001</v>
      </c>
      <c r="E218">
        <f t="shared" si="22"/>
        <v>1</v>
      </c>
      <c r="F218" s="2">
        <f t="shared" si="23"/>
        <v>2.3029775616646209E-2</v>
      </c>
      <c r="G218" s="2">
        <f t="shared" si="19"/>
        <v>1.4960904050624295</v>
      </c>
      <c r="H218" s="2">
        <f t="shared" si="20"/>
        <v>1.5049206554070036</v>
      </c>
    </row>
    <row r="219" spans="1:8" x14ac:dyDescent="0.3">
      <c r="A219" s="1">
        <v>42769</v>
      </c>
      <c r="B219">
        <v>1029.910034</v>
      </c>
      <c r="C219" s="2">
        <f t="shared" si="18"/>
        <v>1.7898839903919939E-2</v>
      </c>
      <c r="D219">
        <f t="shared" si="21"/>
        <v>984.30361320000009</v>
      </c>
      <c r="E219">
        <f t="shared" si="22"/>
        <v>1</v>
      </c>
      <c r="F219" s="2">
        <f t="shared" si="23"/>
        <v>1.7898839903919939E-2</v>
      </c>
      <c r="G219" s="2">
        <f t="shared" si="19"/>
        <v>1.5228686877044326</v>
      </c>
      <c r="H219" s="2">
        <f t="shared" si="20"/>
        <v>1.5318569892862359</v>
      </c>
    </row>
    <row r="220" spans="1:8" x14ac:dyDescent="0.3">
      <c r="A220" s="1">
        <v>42770</v>
      </c>
      <c r="B220">
        <v>1042.900024</v>
      </c>
      <c r="C220" s="2">
        <f t="shared" si="18"/>
        <v>1.2612742444647385E-2</v>
      </c>
      <c r="D220">
        <f t="shared" si="21"/>
        <v>1008.8072142000001</v>
      </c>
      <c r="E220">
        <f t="shared" si="22"/>
        <v>1</v>
      </c>
      <c r="F220" s="2">
        <f t="shared" si="23"/>
        <v>1.2612742444647385E-2</v>
      </c>
      <c r="G220" s="2">
        <f t="shared" si="19"/>
        <v>1.5420762382394668</v>
      </c>
      <c r="H220" s="2">
        <f t="shared" si="20"/>
        <v>1.5511779069541363</v>
      </c>
    </row>
    <row r="221" spans="1:8" x14ac:dyDescent="0.3">
      <c r="A221" s="1">
        <v>42771</v>
      </c>
      <c r="B221">
        <v>1027.339966</v>
      </c>
      <c r="C221" s="2">
        <f t="shared" si="18"/>
        <v>-1.4919990068002931E-2</v>
      </c>
      <c r="D221">
        <f t="shared" si="21"/>
        <v>1020.1946044</v>
      </c>
      <c r="E221">
        <f t="shared" si="22"/>
        <v>1</v>
      </c>
      <c r="F221" s="2">
        <f t="shared" si="23"/>
        <v>-1.4919990068002931E-2</v>
      </c>
      <c r="G221" s="2">
        <f t="shared" si="19"/>
        <v>1.5190684760808306</v>
      </c>
      <c r="H221" s="2">
        <f t="shared" si="20"/>
        <v>1.5280343479886749</v>
      </c>
    </row>
    <row r="222" spans="1:8" x14ac:dyDescent="0.3">
      <c r="A222" s="1">
        <v>42772</v>
      </c>
      <c r="B222">
        <v>1038.150024</v>
      </c>
      <c r="C222" s="2">
        <f t="shared" si="18"/>
        <v>1.0522376582008608E-2</v>
      </c>
      <c r="D222">
        <f t="shared" si="21"/>
        <v>1030.0200072</v>
      </c>
      <c r="E222">
        <f t="shared" si="22"/>
        <v>1</v>
      </c>
      <c r="F222" s="2">
        <f t="shared" si="23"/>
        <v>1.0522376582008608E-2</v>
      </c>
      <c r="G222" s="2">
        <f t="shared" si="19"/>
        <v>1.5350526866400112</v>
      </c>
      <c r="H222" s="2">
        <f t="shared" si="20"/>
        <v>1.5441129008284558</v>
      </c>
    </row>
    <row r="223" spans="1:8" x14ac:dyDescent="0.3">
      <c r="A223" s="1">
        <v>42773</v>
      </c>
      <c r="B223">
        <v>1061.349976</v>
      </c>
      <c r="C223" s="2">
        <f t="shared" si="18"/>
        <v>2.2347398221511661E-2</v>
      </c>
      <c r="D223">
        <f t="shared" si="21"/>
        <v>1039.9300048</v>
      </c>
      <c r="E223">
        <f t="shared" si="22"/>
        <v>1</v>
      </c>
      <c r="F223" s="2">
        <f t="shared" si="23"/>
        <v>2.2347398221511661E-2</v>
      </c>
      <c r="G223" s="2">
        <f t="shared" si="19"/>
        <v>1.5693571203193568</v>
      </c>
      <c r="H223" s="2">
        <f t="shared" si="20"/>
        <v>1.5786198067222428</v>
      </c>
    </row>
    <row r="224" spans="1:8" x14ac:dyDescent="0.3">
      <c r="A224" s="1">
        <v>42774</v>
      </c>
      <c r="B224">
        <v>1063.0699460000001</v>
      </c>
      <c r="C224" s="2">
        <f t="shared" si="18"/>
        <v>1.6205493370644586E-3</v>
      </c>
      <c r="D224">
        <f t="shared" si="21"/>
        <v>1046.5619872</v>
      </c>
      <c r="E224">
        <f t="shared" si="22"/>
        <v>1</v>
      </c>
      <c r="F224" s="2">
        <f t="shared" si="23"/>
        <v>1.6205493370644586E-3</v>
      </c>
      <c r="G224" s="2">
        <f t="shared" si="19"/>
        <v>1.5719003409603078</v>
      </c>
      <c r="H224" s="2">
        <f t="shared" si="20"/>
        <v>1.5811780380035034</v>
      </c>
    </row>
    <row r="225" spans="1:8" x14ac:dyDescent="0.3">
      <c r="A225" s="1">
        <v>42775</v>
      </c>
      <c r="B225">
        <v>994.38299600000005</v>
      </c>
      <c r="C225" s="2">
        <f t="shared" si="18"/>
        <v>-6.4611882085884864E-2</v>
      </c>
      <c r="D225">
        <f t="shared" si="21"/>
        <v>1036.8585816</v>
      </c>
      <c r="E225">
        <f t="shared" si="22"/>
        <v>0</v>
      </c>
      <c r="F225" s="2">
        <f t="shared" si="23"/>
        <v>-6.4611882085884864E-2</v>
      </c>
      <c r="G225" s="2">
        <f t="shared" si="19"/>
        <v>1.4703369014794183</v>
      </c>
      <c r="H225" s="2">
        <f t="shared" si="20"/>
        <v>1.4790151490552303</v>
      </c>
    </row>
    <row r="226" spans="1:8" x14ac:dyDescent="0.3">
      <c r="A226" s="1">
        <v>42776</v>
      </c>
      <c r="B226">
        <v>988.67401099999995</v>
      </c>
      <c r="C226" s="2">
        <f t="shared" si="18"/>
        <v>-5.7412335317126306E-3</v>
      </c>
      <c r="D226">
        <f t="shared" si="21"/>
        <v>1029.1253905999999</v>
      </c>
      <c r="E226">
        <f t="shared" si="22"/>
        <v>0</v>
      </c>
      <c r="F226" s="2">
        <f t="shared" si="23"/>
        <v>0</v>
      </c>
      <c r="G226" s="2">
        <f t="shared" si="19"/>
        <v>1.4618953539577302</v>
      </c>
      <c r="H226" s="2">
        <f t="shared" si="20"/>
        <v>1.4790151490552303</v>
      </c>
    </row>
    <row r="227" spans="1:8" x14ac:dyDescent="0.3">
      <c r="A227" s="1">
        <v>42777</v>
      </c>
      <c r="B227">
        <v>1004.450012</v>
      </c>
      <c r="C227" s="2">
        <f t="shared" si="18"/>
        <v>1.5956726711207292E-2</v>
      </c>
      <c r="D227">
        <f t="shared" si="21"/>
        <v>1022.3853882000001</v>
      </c>
      <c r="E227">
        <f t="shared" si="22"/>
        <v>0</v>
      </c>
      <c r="F227" s="2">
        <f t="shared" si="23"/>
        <v>0</v>
      </c>
      <c r="G227" s="2">
        <f t="shared" si="19"/>
        <v>1.4852224186012173</v>
      </c>
      <c r="H227" s="2">
        <f t="shared" si="20"/>
        <v>1.4790151490552303</v>
      </c>
    </row>
    <row r="228" spans="1:8" x14ac:dyDescent="0.3">
      <c r="A228" s="1">
        <v>42778</v>
      </c>
      <c r="B228">
        <v>999.18102999999996</v>
      </c>
      <c r="C228" s="2">
        <f t="shared" si="18"/>
        <v>-5.2456388441957102E-3</v>
      </c>
      <c r="D228">
        <f t="shared" si="21"/>
        <v>1009.951599</v>
      </c>
      <c r="E228">
        <f t="shared" si="22"/>
        <v>0</v>
      </c>
      <c r="F228" s="2">
        <f t="shared" si="23"/>
        <v>0</v>
      </c>
      <c r="G228" s="2">
        <f t="shared" si="19"/>
        <v>1.4774314781899325</v>
      </c>
      <c r="H228" s="2">
        <f t="shared" si="20"/>
        <v>1.4790151490552303</v>
      </c>
    </row>
    <row r="229" spans="1:8" x14ac:dyDescent="0.3">
      <c r="A229" s="1">
        <v>42779</v>
      </c>
      <c r="B229">
        <v>990.64202899999998</v>
      </c>
      <c r="C229" s="2">
        <f t="shared" si="18"/>
        <v>-8.5459999175524493E-3</v>
      </c>
      <c r="D229">
        <f t="shared" si="21"/>
        <v>995.46601559999976</v>
      </c>
      <c r="E229">
        <f t="shared" si="22"/>
        <v>0</v>
      </c>
      <c r="F229" s="2">
        <f t="shared" si="23"/>
        <v>0</v>
      </c>
      <c r="G229" s="2">
        <f t="shared" si="19"/>
        <v>1.4648053488991319</v>
      </c>
      <c r="H229" s="2">
        <f t="shared" si="20"/>
        <v>1.4790151490552303</v>
      </c>
    </row>
    <row r="230" spans="1:8" x14ac:dyDescent="0.3">
      <c r="A230" s="1">
        <v>42780</v>
      </c>
      <c r="B230">
        <v>1004.549988</v>
      </c>
      <c r="C230" s="2">
        <f t="shared" si="18"/>
        <v>1.4039338724644468E-2</v>
      </c>
      <c r="D230">
        <f t="shared" si="21"/>
        <v>997.49941400000012</v>
      </c>
      <c r="E230">
        <f t="shared" si="22"/>
        <v>1</v>
      </c>
      <c r="F230" s="2">
        <f t="shared" si="23"/>
        <v>0</v>
      </c>
      <c r="G230" s="2">
        <f t="shared" si="19"/>
        <v>1.4853702473579979</v>
      </c>
      <c r="H230" s="2">
        <f t="shared" si="20"/>
        <v>1.4790151490552303</v>
      </c>
    </row>
    <row r="231" spans="1:8" x14ac:dyDescent="0.3">
      <c r="A231" s="1">
        <v>42781</v>
      </c>
      <c r="B231">
        <v>1007.47998</v>
      </c>
      <c r="C231" s="2">
        <f t="shared" si="18"/>
        <v>2.9167209546570039E-3</v>
      </c>
      <c r="D231">
        <f t="shared" si="21"/>
        <v>1001.2606078000001</v>
      </c>
      <c r="E231">
        <f t="shared" si="22"/>
        <v>1</v>
      </c>
      <c r="F231" s="2">
        <f t="shared" si="23"/>
        <v>2.9167209546570039E-3</v>
      </c>
      <c r="G231" s="2">
        <f t="shared" si="19"/>
        <v>1.489702657883891</v>
      </c>
      <c r="H231" s="2">
        <f t="shared" si="20"/>
        <v>1.483329023532735</v>
      </c>
    </row>
    <row r="232" spans="1:8" x14ac:dyDescent="0.3">
      <c r="A232" s="1">
        <v>42782</v>
      </c>
      <c r="B232">
        <v>1027.4399410000001</v>
      </c>
      <c r="C232" s="2">
        <f t="shared" si="18"/>
        <v>1.9811769361412157E-2</v>
      </c>
      <c r="D232">
        <f t="shared" si="21"/>
        <v>1005.8585935999999</v>
      </c>
      <c r="E232">
        <f t="shared" si="22"/>
        <v>1</v>
      </c>
      <c r="F232" s="2">
        <f t="shared" si="23"/>
        <v>1.9811769361412157E-2</v>
      </c>
      <c r="G232" s="2">
        <f t="shared" si="19"/>
        <v>1.5192163033589694</v>
      </c>
      <c r="H232" s="2">
        <f t="shared" si="20"/>
        <v>1.5127163960340542</v>
      </c>
    </row>
    <row r="233" spans="1:8" x14ac:dyDescent="0.3">
      <c r="A233" s="1">
        <v>42783</v>
      </c>
      <c r="B233">
        <v>1046.209961</v>
      </c>
      <c r="C233" s="2">
        <f t="shared" si="18"/>
        <v>1.8268727203393675E-2</v>
      </c>
      <c r="D233">
        <f t="shared" si="21"/>
        <v>1015.2643798000001</v>
      </c>
      <c r="E233">
        <f t="shared" si="22"/>
        <v>1</v>
      </c>
      <c r="F233" s="2">
        <f t="shared" si="23"/>
        <v>1.8268727203393675E-2</v>
      </c>
      <c r="G233" s="2">
        <f t="shared" si="19"/>
        <v>1.5469704515679825</v>
      </c>
      <c r="H233" s="2">
        <f t="shared" si="20"/>
        <v>1.5403517992093012</v>
      </c>
    </row>
    <row r="234" spans="1:8" x14ac:dyDescent="0.3">
      <c r="A234" s="1">
        <v>42784</v>
      </c>
      <c r="B234">
        <v>1054.420044</v>
      </c>
      <c r="C234" s="2">
        <f t="shared" si="18"/>
        <v>7.8474525248761751E-3</v>
      </c>
      <c r="D234">
        <f t="shared" si="21"/>
        <v>1028.0199828</v>
      </c>
      <c r="E234">
        <f t="shared" si="22"/>
        <v>1</v>
      </c>
      <c r="F234" s="2">
        <f t="shared" si="23"/>
        <v>7.8474525248761751E-3</v>
      </c>
      <c r="G234" s="2">
        <f t="shared" si="19"/>
        <v>1.5591102287440486</v>
      </c>
      <c r="H234" s="2">
        <f t="shared" si="20"/>
        <v>1.5524396368252038</v>
      </c>
    </row>
    <row r="235" spans="1:8" x14ac:dyDescent="0.3">
      <c r="A235" s="1">
        <v>42785</v>
      </c>
      <c r="B235">
        <v>1047.869995</v>
      </c>
      <c r="C235" s="2">
        <f t="shared" si="18"/>
        <v>-6.2119921157340885E-3</v>
      </c>
      <c r="D235">
        <f t="shared" si="21"/>
        <v>1036.6839841999999</v>
      </c>
      <c r="E235">
        <f t="shared" si="22"/>
        <v>1</v>
      </c>
      <c r="F235" s="2">
        <f t="shared" si="23"/>
        <v>-6.2119921157340885E-3</v>
      </c>
      <c r="G235" s="2">
        <f t="shared" si="19"/>
        <v>1.5494250482955303</v>
      </c>
      <c r="H235" s="2">
        <f t="shared" si="20"/>
        <v>1.5427958940410926</v>
      </c>
    </row>
    <row r="236" spans="1:8" x14ac:dyDescent="0.3">
      <c r="A236" s="1">
        <v>42786</v>
      </c>
      <c r="B236">
        <v>1079.9799800000001</v>
      </c>
      <c r="C236" s="2">
        <f t="shared" si="18"/>
        <v>3.064309995821568E-2</v>
      </c>
      <c r="D236">
        <f t="shared" si="21"/>
        <v>1051.1839842000002</v>
      </c>
      <c r="E236">
        <f t="shared" si="22"/>
        <v>1</v>
      </c>
      <c r="F236" s="2">
        <f t="shared" si="23"/>
        <v>3.064309995821568E-2</v>
      </c>
      <c r="G236" s="2">
        <f t="shared" si="19"/>
        <v>1.5969042349282134</v>
      </c>
      <c r="H236" s="2">
        <f t="shared" si="20"/>
        <v>1.5900719428373185</v>
      </c>
    </row>
    <row r="237" spans="1:8" x14ac:dyDescent="0.3">
      <c r="A237" s="1">
        <v>42787</v>
      </c>
      <c r="B237">
        <v>1115.3000489999999</v>
      </c>
      <c r="C237" s="2">
        <f t="shared" si="18"/>
        <v>3.2704373834781419E-2</v>
      </c>
      <c r="D237">
        <f t="shared" si="21"/>
        <v>1068.7560057999999</v>
      </c>
      <c r="E237">
        <f t="shared" si="22"/>
        <v>1</v>
      </c>
      <c r="F237" s="2">
        <f t="shared" si="23"/>
        <v>3.2704373834781419E-2</v>
      </c>
      <c r="G237" s="2">
        <f t="shared" si="19"/>
        <v>1.6491299880056514</v>
      </c>
      <c r="H237" s="2">
        <f t="shared" si="20"/>
        <v>1.6420742500800674</v>
      </c>
    </row>
    <row r="238" spans="1:8" x14ac:dyDescent="0.3">
      <c r="A238" s="1">
        <v>42788</v>
      </c>
      <c r="B238">
        <v>1117.4399410000001</v>
      </c>
      <c r="C238" s="2">
        <f t="shared" si="18"/>
        <v>1.9186693320052406E-3</v>
      </c>
      <c r="D238">
        <f t="shared" si="21"/>
        <v>1083.0020018</v>
      </c>
      <c r="E238">
        <f t="shared" si="22"/>
        <v>1</v>
      </c>
      <c r="F238" s="2">
        <f t="shared" si="23"/>
        <v>1.9186693320052406E-3</v>
      </c>
      <c r="G238" s="2">
        <f t="shared" si="19"/>
        <v>1.6522941231381281</v>
      </c>
      <c r="H238" s="2">
        <f t="shared" si="20"/>
        <v>1.6452248475845714</v>
      </c>
    </row>
    <row r="239" spans="1:8" x14ac:dyDescent="0.3">
      <c r="A239" s="1">
        <v>42789</v>
      </c>
      <c r="B239">
        <v>1166.719971</v>
      </c>
      <c r="C239" s="2">
        <f t="shared" si="18"/>
        <v>4.4100831008330621E-2</v>
      </c>
      <c r="D239">
        <f t="shared" si="21"/>
        <v>1105.4619871999998</v>
      </c>
      <c r="E239">
        <f t="shared" si="22"/>
        <v>1</v>
      </c>
      <c r="F239" s="2">
        <f t="shared" si="23"/>
        <v>4.4100831008330621E-2</v>
      </c>
      <c r="G239" s="2">
        <f t="shared" si="19"/>
        <v>1.7251616670387004</v>
      </c>
      <c r="H239" s="2">
        <f t="shared" si="20"/>
        <v>1.7177806305586052</v>
      </c>
    </row>
    <row r="240" spans="1:8" x14ac:dyDescent="0.3">
      <c r="A240" s="1">
        <v>42790</v>
      </c>
      <c r="B240">
        <v>1173.6800539999999</v>
      </c>
      <c r="C240" s="2">
        <f t="shared" si="18"/>
        <v>5.9655128676974201E-3</v>
      </c>
      <c r="D240">
        <f t="shared" si="21"/>
        <v>1130.6239990000001</v>
      </c>
      <c r="E240">
        <f t="shared" si="22"/>
        <v>1</v>
      </c>
      <c r="F240" s="2">
        <f t="shared" si="23"/>
        <v>5.9655128676974201E-3</v>
      </c>
      <c r="G240" s="2">
        <f t="shared" si="19"/>
        <v>1.7354531411622782</v>
      </c>
      <c r="H240" s="2">
        <f t="shared" si="20"/>
        <v>1.728028073014084</v>
      </c>
    </row>
    <row r="241" spans="1:8" x14ac:dyDescent="0.3">
      <c r="A241" s="1">
        <v>42791</v>
      </c>
      <c r="B241">
        <v>1143.839966</v>
      </c>
      <c r="C241" s="2">
        <f t="shared" si="18"/>
        <v>-2.5424380263004753E-2</v>
      </c>
      <c r="D241">
        <f t="shared" si="21"/>
        <v>1143.3959962000001</v>
      </c>
      <c r="E241">
        <f t="shared" si="22"/>
        <v>1</v>
      </c>
      <c r="F241" s="2">
        <f t="shared" si="23"/>
        <v>-2.5424380263004753E-2</v>
      </c>
      <c r="G241" s="2">
        <f t="shared" si="19"/>
        <v>1.6913303205727424</v>
      </c>
      <c r="H241" s="2">
        <f t="shared" si="20"/>
        <v>1.6840940301806266</v>
      </c>
    </row>
    <row r="242" spans="1:8" x14ac:dyDescent="0.3">
      <c r="A242" s="1">
        <v>42792</v>
      </c>
      <c r="B242">
        <v>1165.1999510000001</v>
      </c>
      <c r="C242" s="2">
        <f t="shared" si="18"/>
        <v>1.867392785259625E-2</v>
      </c>
      <c r="D242">
        <f t="shared" si="21"/>
        <v>1153.3759765999998</v>
      </c>
      <c r="E242">
        <f t="shared" si="22"/>
        <v>1</v>
      </c>
      <c r="F242" s="2">
        <f t="shared" si="23"/>
        <v>1.867392785259625E-2</v>
      </c>
      <c r="G242" s="2">
        <f t="shared" si="19"/>
        <v>1.7229141009540263</v>
      </c>
      <c r="H242" s="2">
        <f t="shared" si="20"/>
        <v>1.7155426805972078</v>
      </c>
    </row>
    <row r="243" spans="1:8" x14ac:dyDescent="0.3">
      <c r="A243" s="1">
        <v>42793</v>
      </c>
      <c r="B243">
        <v>1179.969971</v>
      </c>
      <c r="C243" s="2">
        <f t="shared" si="18"/>
        <v>1.2675953159218656E-2</v>
      </c>
      <c r="D243">
        <f t="shared" si="21"/>
        <v>1165.8819825999999</v>
      </c>
      <c r="E243">
        <f t="shared" si="22"/>
        <v>1</v>
      </c>
      <c r="F243" s="2">
        <f t="shared" si="23"/>
        <v>1.2675953159218656E-2</v>
      </c>
      <c r="G243" s="2">
        <f t="shared" si="19"/>
        <v>1.7447536793950769</v>
      </c>
      <c r="H243" s="2">
        <f t="shared" si="20"/>
        <v>1.7372888192590985</v>
      </c>
    </row>
    <row r="244" spans="1:8" x14ac:dyDescent="0.3">
      <c r="A244" s="1">
        <v>42794</v>
      </c>
      <c r="B244">
        <v>1179.969971</v>
      </c>
      <c r="C244" s="2">
        <f t="shared" si="18"/>
        <v>0</v>
      </c>
      <c r="D244">
        <f t="shared" si="21"/>
        <v>1168.5319826</v>
      </c>
      <c r="E244">
        <f t="shared" si="22"/>
        <v>1</v>
      </c>
      <c r="F244" s="2">
        <f t="shared" si="23"/>
        <v>0</v>
      </c>
      <c r="G244" s="2">
        <f t="shared" si="19"/>
        <v>1.7447536793950769</v>
      </c>
      <c r="H244" s="2">
        <f t="shared" si="20"/>
        <v>1.7372888192590985</v>
      </c>
    </row>
    <row r="245" spans="1:8" x14ac:dyDescent="0.3">
      <c r="A245" s="1">
        <v>42795</v>
      </c>
      <c r="B245">
        <v>1222.5</v>
      </c>
      <c r="C245" s="2">
        <f t="shared" si="18"/>
        <v>3.6043314698895879E-2</v>
      </c>
      <c r="D245">
        <f t="shared" si="21"/>
        <v>1178.2959718</v>
      </c>
      <c r="E245">
        <f t="shared" si="22"/>
        <v>1</v>
      </c>
      <c r="F245" s="2">
        <f t="shared" si="23"/>
        <v>3.6043314698895879E-2</v>
      </c>
      <c r="G245" s="2">
        <f t="shared" si="19"/>
        <v>1.8076403853335701</v>
      </c>
      <c r="H245" s="2">
        <f t="shared" si="20"/>
        <v>1.7999064668945275</v>
      </c>
    </row>
    <row r="246" spans="1:8" x14ac:dyDescent="0.3">
      <c r="A246" s="1">
        <v>42796</v>
      </c>
      <c r="B246">
        <v>1251.01001</v>
      </c>
      <c r="C246" s="2">
        <f t="shared" si="18"/>
        <v>2.3321071574642138E-2</v>
      </c>
      <c r="D246">
        <f t="shared" si="21"/>
        <v>1199.7299805999999</v>
      </c>
      <c r="E246">
        <f t="shared" si="22"/>
        <v>1</v>
      </c>
      <c r="F246" s="2">
        <f t="shared" si="23"/>
        <v>2.3321071574642138E-2</v>
      </c>
      <c r="G246" s="2">
        <f t="shared" si="19"/>
        <v>1.8497964961411479</v>
      </c>
      <c r="H246" s="2">
        <f t="shared" si="20"/>
        <v>1.841882214436636</v>
      </c>
    </row>
    <row r="247" spans="1:8" x14ac:dyDescent="0.3">
      <c r="A247" s="1">
        <v>42797</v>
      </c>
      <c r="B247">
        <v>1274.98999</v>
      </c>
      <c r="C247" s="2">
        <f t="shared" si="18"/>
        <v>1.9168495702124755E-2</v>
      </c>
      <c r="D247">
        <f t="shared" si="21"/>
        <v>1221.6879884</v>
      </c>
      <c r="E247">
        <f t="shared" si="22"/>
        <v>1</v>
      </c>
      <c r="F247" s="2">
        <f t="shared" si="23"/>
        <v>1.9168495702124755E-2</v>
      </c>
      <c r="G247" s="2">
        <f t="shared" si="19"/>
        <v>1.8852543123272349</v>
      </c>
      <c r="H247" s="2">
        <f t="shared" si="20"/>
        <v>1.8771883257478847</v>
      </c>
    </row>
    <row r="248" spans="1:8" x14ac:dyDescent="0.3">
      <c r="A248" s="1">
        <v>42798</v>
      </c>
      <c r="B248">
        <v>1255.150024</v>
      </c>
      <c r="C248" s="2">
        <f t="shared" si="18"/>
        <v>-1.556087981522114E-2</v>
      </c>
      <c r="D248">
        <f t="shared" si="21"/>
        <v>1236.7239990000003</v>
      </c>
      <c r="E248">
        <f t="shared" si="22"/>
        <v>1</v>
      </c>
      <c r="F248" s="2">
        <f t="shared" si="23"/>
        <v>-1.556087981522114E-2</v>
      </c>
      <c r="G248" s="2">
        <f t="shared" si="19"/>
        <v>1.8559180965519835</v>
      </c>
      <c r="H248" s="2">
        <f t="shared" si="20"/>
        <v>1.8479776238203858</v>
      </c>
    </row>
    <row r="249" spans="1:8" x14ac:dyDescent="0.3">
      <c r="A249" s="1">
        <v>42799</v>
      </c>
      <c r="B249">
        <v>1267.119995</v>
      </c>
      <c r="C249" s="2">
        <f t="shared" si="18"/>
        <v>9.5366854727478856E-3</v>
      </c>
      <c r="D249">
        <f t="shared" si="21"/>
        <v>1254.1540038000001</v>
      </c>
      <c r="E249">
        <f t="shared" si="22"/>
        <v>1</v>
      </c>
      <c r="F249" s="2">
        <f t="shared" si="23"/>
        <v>9.5366854727478856E-3</v>
      </c>
      <c r="G249" s="2">
        <f t="shared" si="19"/>
        <v>1.8736174037019806</v>
      </c>
      <c r="H249" s="2">
        <f t="shared" si="20"/>
        <v>1.8656012051794368</v>
      </c>
    </row>
    <row r="250" spans="1:8" x14ac:dyDescent="0.3">
      <c r="A250" s="1">
        <v>42800</v>
      </c>
      <c r="B250">
        <v>1272.829956</v>
      </c>
      <c r="C250" s="2">
        <f t="shared" si="18"/>
        <v>4.5062512015683343E-3</v>
      </c>
      <c r="D250">
        <f t="shared" si="21"/>
        <v>1264.2199949999999</v>
      </c>
      <c r="E250">
        <f t="shared" si="22"/>
        <v>1</v>
      </c>
      <c r="F250" s="2">
        <f t="shared" si="23"/>
        <v>4.5062512015683343E-3</v>
      </c>
      <c r="G250" s="2">
        <f t="shared" si="19"/>
        <v>1.882060394378692</v>
      </c>
      <c r="H250" s="2">
        <f t="shared" si="20"/>
        <v>1.8740080728519239</v>
      </c>
    </row>
    <row r="251" spans="1:8" x14ac:dyDescent="0.3">
      <c r="A251" s="1">
        <v>42801</v>
      </c>
      <c r="B251">
        <v>1223.540039</v>
      </c>
      <c r="C251" s="2">
        <f t="shared" si="18"/>
        <v>-3.8724667633450949E-2</v>
      </c>
      <c r="D251">
        <f t="shared" si="21"/>
        <v>1258.7260008000001</v>
      </c>
      <c r="E251">
        <f t="shared" si="22"/>
        <v>0</v>
      </c>
      <c r="F251" s="2">
        <f t="shared" si="23"/>
        <v>-3.8724667633450949E-2</v>
      </c>
      <c r="G251" s="2">
        <f t="shared" si="19"/>
        <v>1.8091782311402955</v>
      </c>
      <c r="H251" s="2">
        <f t="shared" si="20"/>
        <v>1.8014377330883293</v>
      </c>
    </row>
    <row r="252" spans="1:8" x14ac:dyDescent="0.3">
      <c r="A252" s="1">
        <v>42802</v>
      </c>
      <c r="B252">
        <v>1150</v>
      </c>
      <c r="C252" s="2">
        <f t="shared" si="18"/>
        <v>-6.0104317517965522E-2</v>
      </c>
      <c r="D252">
        <f t="shared" si="21"/>
        <v>1233.7280028</v>
      </c>
      <c r="E252">
        <f t="shared" si="22"/>
        <v>0</v>
      </c>
      <c r="F252" s="2">
        <f t="shared" si="23"/>
        <v>0</v>
      </c>
      <c r="G252" s="2">
        <f t="shared" si="19"/>
        <v>1.7004388082892479</v>
      </c>
      <c r="H252" s="2">
        <f t="shared" si="20"/>
        <v>1.8014377330883293</v>
      </c>
    </row>
    <row r="253" spans="1:8" x14ac:dyDescent="0.3">
      <c r="A253" s="1">
        <v>42803</v>
      </c>
      <c r="B253">
        <v>1188.48999</v>
      </c>
      <c r="C253" s="2">
        <f t="shared" si="18"/>
        <v>3.3469556521739108E-2</v>
      </c>
      <c r="D253">
        <f t="shared" si="21"/>
        <v>1220.395996</v>
      </c>
      <c r="E253">
        <f t="shared" si="22"/>
        <v>0</v>
      </c>
      <c r="F253" s="2">
        <f t="shared" si="23"/>
        <v>0</v>
      </c>
      <c r="G253" s="2">
        <f t="shared" si="19"/>
        <v>1.7573517410950434</v>
      </c>
      <c r="H253" s="2">
        <f t="shared" si="20"/>
        <v>1.8014377330883293</v>
      </c>
    </row>
    <row r="254" spans="1:8" x14ac:dyDescent="0.3">
      <c r="A254" s="1">
        <v>42804</v>
      </c>
      <c r="B254">
        <v>1116.719971</v>
      </c>
      <c r="C254" s="2">
        <f t="shared" si="18"/>
        <v>-6.0387567084178806E-2</v>
      </c>
      <c r="D254">
        <f t="shared" si="21"/>
        <v>1190.3159911999999</v>
      </c>
      <c r="E254">
        <f t="shared" si="22"/>
        <v>0</v>
      </c>
      <c r="F254" s="2">
        <f t="shared" si="23"/>
        <v>0</v>
      </c>
      <c r="G254" s="2">
        <f t="shared" si="19"/>
        <v>1.6512295449391681</v>
      </c>
      <c r="H254" s="2">
        <f t="shared" si="20"/>
        <v>1.8014377330883293</v>
      </c>
    </row>
    <row r="255" spans="1:8" x14ac:dyDescent="0.3">
      <c r="A255" s="1">
        <v>42805</v>
      </c>
      <c r="B255">
        <v>1175.829956</v>
      </c>
      <c r="C255" s="2">
        <f t="shared" si="18"/>
        <v>5.2931788214612308E-2</v>
      </c>
      <c r="D255">
        <f t="shared" si="21"/>
        <v>1170.9159912</v>
      </c>
      <c r="E255">
        <f t="shared" si="22"/>
        <v>1</v>
      </c>
      <c r="F255" s="2">
        <f t="shared" si="23"/>
        <v>0</v>
      </c>
      <c r="G255" s="2">
        <f t="shared" si="19"/>
        <v>1.7386320775055988</v>
      </c>
      <c r="H255" s="2">
        <f t="shared" si="20"/>
        <v>1.8014377330883293</v>
      </c>
    </row>
    <row r="256" spans="1:8" x14ac:dyDescent="0.3">
      <c r="A256" s="1">
        <v>42806</v>
      </c>
      <c r="B256">
        <v>1221.380005</v>
      </c>
      <c r="C256" s="2">
        <f t="shared" si="18"/>
        <v>3.8738636286282935E-2</v>
      </c>
      <c r="D256">
        <f t="shared" si="21"/>
        <v>1170.4839844000001</v>
      </c>
      <c r="E256">
        <f t="shared" si="22"/>
        <v>1</v>
      </c>
      <c r="F256" s="2">
        <f t="shared" si="23"/>
        <v>3.8738636286282935E-2</v>
      </c>
      <c r="G256" s="2">
        <f t="shared" si="19"/>
        <v>1.8059843131917526</v>
      </c>
      <c r="H256" s="2">
        <f t="shared" si="20"/>
        <v>1.8712229742228241</v>
      </c>
    </row>
    <row r="257" spans="1:8" x14ac:dyDescent="0.3">
      <c r="A257" s="1">
        <v>42807</v>
      </c>
      <c r="B257">
        <v>1231.920044</v>
      </c>
      <c r="C257" s="2">
        <f t="shared" si="18"/>
        <v>8.6296148265501138E-3</v>
      </c>
      <c r="D257">
        <f t="shared" si="21"/>
        <v>1186.8679932</v>
      </c>
      <c r="E257">
        <f t="shared" si="22"/>
        <v>1</v>
      </c>
      <c r="F257" s="2">
        <f t="shared" si="23"/>
        <v>8.6296148265501138E-3</v>
      </c>
      <c r="G257" s="2">
        <f t="shared" si="19"/>
        <v>1.8215692621973891</v>
      </c>
      <c r="H257" s="2">
        <f t="shared" si="20"/>
        <v>1.8873709077449585</v>
      </c>
    </row>
    <row r="258" spans="1:8" x14ac:dyDescent="0.3">
      <c r="A258" s="1">
        <v>42808</v>
      </c>
      <c r="B258">
        <v>1240</v>
      </c>
      <c r="C258" s="2">
        <f t="shared" si="18"/>
        <v>6.558831508061802E-3</v>
      </c>
      <c r="D258">
        <f t="shared" si="21"/>
        <v>1197.1699951999999</v>
      </c>
      <c r="E258">
        <f t="shared" si="22"/>
        <v>1</v>
      </c>
      <c r="F258" s="2">
        <f t="shared" si="23"/>
        <v>6.558831508061802E-3</v>
      </c>
      <c r="G258" s="2">
        <f t="shared" si="19"/>
        <v>1.8335166280684063</v>
      </c>
      <c r="H258" s="2">
        <f t="shared" si="20"/>
        <v>1.8997498555220753</v>
      </c>
    </row>
    <row r="259" spans="1:8" x14ac:dyDescent="0.3">
      <c r="A259" s="1">
        <v>42809</v>
      </c>
      <c r="B259">
        <v>1249.6099850000001</v>
      </c>
      <c r="C259" s="2">
        <f t="shared" si="18"/>
        <v>7.7499879032258967E-3</v>
      </c>
      <c r="D259">
        <f t="shared" si="21"/>
        <v>1223.7479980000001</v>
      </c>
      <c r="E259">
        <f t="shared" si="22"/>
        <v>1</v>
      </c>
      <c r="F259" s="2">
        <f t="shared" si="23"/>
        <v>7.7499879032258967E-3</v>
      </c>
      <c r="G259" s="2">
        <f t="shared" si="19"/>
        <v>1.8477263597563001</v>
      </c>
      <c r="H259" s="2">
        <f t="shared" si="20"/>
        <v>1.9144728939215265</v>
      </c>
    </row>
    <row r="260" spans="1:8" x14ac:dyDescent="0.3">
      <c r="A260" s="1">
        <v>42810</v>
      </c>
      <c r="B260">
        <v>1187.8100589999999</v>
      </c>
      <c r="C260" s="2">
        <f t="shared" ref="C260:C323" si="24">B260/B259-1</f>
        <v>-4.9455371469362963E-2</v>
      </c>
      <c r="D260">
        <f t="shared" si="21"/>
        <v>1226.1440186</v>
      </c>
      <c r="E260">
        <f t="shared" si="22"/>
        <v>0</v>
      </c>
      <c r="F260" s="2">
        <f t="shared" si="23"/>
        <v>-4.9455371469362963E-2</v>
      </c>
      <c r="G260" s="2">
        <f t="shared" ref="G260:G323" si="25">(1+C260)*G259</f>
        <v>1.7563463662608185</v>
      </c>
      <c r="H260" s="2">
        <f t="shared" ref="H260:H323" si="26">(1+F260)*H259</f>
        <v>1.8197919257846111</v>
      </c>
    </row>
    <row r="261" spans="1:8" x14ac:dyDescent="0.3">
      <c r="A261" s="1">
        <v>42811</v>
      </c>
      <c r="B261">
        <v>1100.2299800000001</v>
      </c>
      <c r="C261" s="2">
        <f t="shared" si="24"/>
        <v>-7.3732393774920801E-2</v>
      </c>
      <c r="D261">
        <f t="shared" si="21"/>
        <v>1201.9140136000001</v>
      </c>
      <c r="E261">
        <f t="shared" si="22"/>
        <v>0</v>
      </c>
      <c r="F261" s="2">
        <f t="shared" si="23"/>
        <v>0</v>
      </c>
      <c r="G261" s="2">
        <f t="shared" si="25"/>
        <v>1.6268467443785246</v>
      </c>
      <c r="H261" s="2">
        <f t="shared" si="26"/>
        <v>1.8197919257846111</v>
      </c>
    </row>
    <row r="262" spans="1:8" x14ac:dyDescent="0.3">
      <c r="A262" s="1">
        <v>42812</v>
      </c>
      <c r="B262">
        <v>973.817993</v>
      </c>
      <c r="C262" s="2">
        <f t="shared" si="24"/>
        <v>-0.11489596656873502</v>
      </c>
      <c r="D262">
        <f t="shared" si="21"/>
        <v>1150.2936033999999</v>
      </c>
      <c r="E262">
        <f t="shared" si="22"/>
        <v>0</v>
      </c>
      <c r="F262" s="2">
        <f t="shared" si="23"/>
        <v>0</v>
      </c>
      <c r="G262" s="2">
        <f t="shared" si="25"/>
        <v>1.4399286152239543</v>
      </c>
      <c r="H262" s="2">
        <f t="shared" si="26"/>
        <v>1.8197919257846111</v>
      </c>
    </row>
    <row r="263" spans="1:8" x14ac:dyDescent="0.3">
      <c r="A263" s="1">
        <v>42813</v>
      </c>
      <c r="B263">
        <v>1036.73999</v>
      </c>
      <c r="C263" s="2">
        <f t="shared" si="24"/>
        <v>6.4613713704507525E-2</v>
      </c>
      <c r="D263">
        <f t="shared" ref="D263:D326" si="27">AVERAGE(B259:B263)</f>
        <v>1109.6416014000001</v>
      </c>
      <c r="E263">
        <f t="shared" ref="E263:E326" si="28">IF(B263&gt;D263,1,0)</f>
        <v>0</v>
      </c>
      <c r="F263" s="2">
        <f t="shared" si="23"/>
        <v>0</v>
      </c>
      <c r="G263" s="2">
        <f t="shared" si="25"/>
        <v>1.5329677505229629</v>
      </c>
      <c r="H263" s="2">
        <f t="shared" si="26"/>
        <v>1.8197919257846111</v>
      </c>
    </row>
    <row r="264" spans="1:8" x14ac:dyDescent="0.3">
      <c r="A264" s="1">
        <v>42814</v>
      </c>
      <c r="B264">
        <v>1054.2299800000001</v>
      </c>
      <c r="C264" s="2">
        <f t="shared" si="24"/>
        <v>1.6870179764166382E-2</v>
      </c>
      <c r="D264">
        <f t="shared" si="27"/>
        <v>1070.5656004</v>
      </c>
      <c r="E264">
        <f t="shared" si="28"/>
        <v>0</v>
      </c>
      <c r="F264" s="2">
        <f t="shared" ref="F264:F327" si="29">E263*C264</f>
        <v>0</v>
      </c>
      <c r="G264" s="2">
        <f t="shared" si="25"/>
        <v>1.558829192046955</v>
      </c>
      <c r="H264" s="2">
        <f t="shared" si="26"/>
        <v>1.8197919257846111</v>
      </c>
    </row>
    <row r="265" spans="1:8" x14ac:dyDescent="0.3">
      <c r="A265" s="1">
        <v>42815</v>
      </c>
      <c r="B265">
        <v>1120.540039</v>
      </c>
      <c r="C265" s="2">
        <f t="shared" si="24"/>
        <v>6.2899045045180735E-2</v>
      </c>
      <c r="D265">
        <f t="shared" si="27"/>
        <v>1057.1115964000001</v>
      </c>
      <c r="E265">
        <f t="shared" si="28"/>
        <v>1</v>
      </c>
      <c r="F265" s="2">
        <f t="shared" si="29"/>
        <v>0</v>
      </c>
      <c r="G265" s="2">
        <f t="shared" si="25"/>
        <v>1.6568780596152592</v>
      </c>
      <c r="H265" s="2">
        <f t="shared" si="26"/>
        <v>1.8197919257846111</v>
      </c>
    </row>
    <row r="266" spans="1:8" x14ac:dyDescent="0.3">
      <c r="A266" s="1">
        <v>42816</v>
      </c>
      <c r="B266">
        <v>1049.1400149999999</v>
      </c>
      <c r="C266" s="2">
        <f t="shared" si="24"/>
        <v>-6.3719297405668174E-2</v>
      </c>
      <c r="D266">
        <f t="shared" si="27"/>
        <v>1046.8936034000001</v>
      </c>
      <c r="E266">
        <f t="shared" si="28"/>
        <v>1</v>
      </c>
      <c r="F266" s="2">
        <f t="shared" si="29"/>
        <v>-6.3719297405668174E-2</v>
      </c>
      <c r="G266" s="2">
        <f t="shared" si="25"/>
        <v>1.5513029537697081</v>
      </c>
      <c r="H266" s="2">
        <f t="shared" si="26"/>
        <v>1.7038360628491078</v>
      </c>
    </row>
    <row r="267" spans="1:8" x14ac:dyDescent="0.3">
      <c r="A267" s="1">
        <v>42817</v>
      </c>
      <c r="B267">
        <v>1038.589966</v>
      </c>
      <c r="C267" s="2">
        <f t="shared" si="24"/>
        <v>-1.0055901833083691E-2</v>
      </c>
      <c r="D267">
        <f t="shared" si="27"/>
        <v>1059.847998</v>
      </c>
      <c r="E267">
        <f t="shared" si="28"/>
        <v>0</v>
      </c>
      <c r="F267" s="2">
        <f t="shared" si="29"/>
        <v>-1.0055901833083691E-2</v>
      </c>
      <c r="G267" s="2">
        <f t="shared" si="25"/>
        <v>1.5357032035532272</v>
      </c>
      <c r="H267" s="2">
        <f t="shared" si="26"/>
        <v>1.6867024546614293</v>
      </c>
    </row>
    <row r="268" spans="1:8" x14ac:dyDescent="0.3">
      <c r="A268" s="1">
        <v>42818</v>
      </c>
      <c r="B268">
        <v>937.52002000000005</v>
      </c>
      <c r="C268" s="2">
        <f t="shared" si="24"/>
        <v>-9.7314579678887347E-2</v>
      </c>
      <c r="D268">
        <f t="shared" si="27"/>
        <v>1040.0040039999999</v>
      </c>
      <c r="E268">
        <f t="shared" si="28"/>
        <v>0</v>
      </c>
      <c r="F268" s="2">
        <f t="shared" si="29"/>
        <v>0</v>
      </c>
      <c r="G268" s="2">
        <f t="shared" si="25"/>
        <v>1.3862568917879241</v>
      </c>
      <c r="H268" s="2">
        <f t="shared" si="26"/>
        <v>1.6867024546614293</v>
      </c>
    </row>
    <row r="269" spans="1:8" x14ac:dyDescent="0.3">
      <c r="A269" s="1">
        <v>42819</v>
      </c>
      <c r="B269">
        <v>972.77899200000002</v>
      </c>
      <c r="C269" s="2">
        <f t="shared" si="24"/>
        <v>3.7608767010649968E-2</v>
      </c>
      <c r="D269">
        <f t="shared" si="27"/>
        <v>1023.7138063999998</v>
      </c>
      <c r="E269">
        <f t="shared" si="28"/>
        <v>0</v>
      </c>
      <c r="F269" s="2">
        <f t="shared" si="29"/>
        <v>0</v>
      </c>
      <c r="G269" s="2">
        <f t="shared" si="25"/>
        <v>1.438392304248084</v>
      </c>
      <c r="H269" s="2">
        <f t="shared" si="26"/>
        <v>1.6867024546614293</v>
      </c>
    </row>
    <row r="270" spans="1:8" x14ac:dyDescent="0.3">
      <c r="A270" s="1">
        <v>42820</v>
      </c>
      <c r="B270">
        <v>966.72497599999997</v>
      </c>
      <c r="C270" s="2">
        <f t="shared" si="24"/>
        <v>-6.2234238709794054E-3</v>
      </c>
      <c r="D270">
        <f t="shared" si="27"/>
        <v>992.95079379999993</v>
      </c>
      <c r="E270">
        <f t="shared" si="28"/>
        <v>0</v>
      </c>
      <c r="F270" s="2">
        <f t="shared" si="29"/>
        <v>0</v>
      </c>
      <c r="G270" s="2">
        <f t="shared" si="25"/>
        <v>1.4294405792459934</v>
      </c>
      <c r="H270" s="2">
        <f t="shared" si="26"/>
        <v>1.6867024546614293</v>
      </c>
    </row>
    <row r="271" spans="1:8" x14ac:dyDescent="0.3">
      <c r="A271" s="1">
        <v>42821</v>
      </c>
      <c r="B271">
        <v>1045.7700199999999</v>
      </c>
      <c r="C271" s="2">
        <f t="shared" si="24"/>
        <v>8.1765803059173248E-2</v>
      </c>
      <c r="D271">
        <f t="shared" si="27"/>
        <v>992.27679480000006</v>
      </c>
      <c r="E271">
        <f t="shared" si="28"/>
        <v>1</v>
      </c>
      <c r="F271" s="2">
        <f t="shared" si="29"/>
        <v>0</v>
      </c>
      <c r="G271" s="2">
        <f t="shared" si="25"/>
        <v>1.5463199361334119</v>
      </c>
      <c r="H271" s="2">
        <f t="shared" si="26"/>
        <v>1.6867024546614293</v>
      </c>
    </row>
    <row r="272" spans="1:8" x14ac:dyDescent="0.3">
      <c r="A272" s="1">
        <v>42822</v>
      </c>
      <c r="B272">
        <v>1047.150024</v>
      </c>
      <c r="C272" s="2">
        <f t="shared" si="24"/>
        <v>1.3196056241888687E-3</v>
      </c>
      <c r="D272">
        <f t="shared" si="27"/>
        <v>993.98880639999993</v>
      </c>
      <c r="E272">
        <f t="shared" si="28"/>
        <v>1</v>
      </c>
      <c r="F272" s="2">
        <f t="shared" si="29"/>
        <v>1.3196056241888687E-3</v>
      </c>
      <c r="G272" s="2">
        <f t="shared" si="25"/>
        <v>1.5483604686179289</v>
      </c>
      <c r="H272" s="2">
        <f t="shared" si="26"/>
        <v>1.6889282367069338</v>
      </c>
    </row>
    <row r="273" spans="1:8" x14ac:dyDescent="0.3">
      <c r="A273" s="1">
        <v>42823</v>
      </c>
      <c r="B273">
        <v>1039.969971</v>
      </c>
      <c r="C273" s="2">
        <f t="shared" si="24"/>
        <v>-6.8567567544648433E-3</v>
      </c>
      <c r="D273">
        <f t="shared" si="27"/>
        <v>1014.4787966</v>
      </c>
      <c r="E273">
        <f t="shared" si="28"/>
        <v>1</v>
      </c>
      <c r="F273" s="2">
        <f t="shared" si="29"/>
        <v>-6.8567567544648433E-3</v>
      </c>
      <c r="G273" s="2">
        <f t="shared" si="25"/>
        <v>1.5377437375163865</v>
      </c>
      <c r="H273" s="2">
        <f t="shared" si="26"/>
        <v>1.6773476666120872</v>
      </c>
    </row>
    <row r="274" spans="1:8" x14ac:dyDescent="0.3">
      <c r="A274" s="1">
        <v>42824</v>
      </c>
      <c r="B274">
        <v>1026.4300539999999</v>
      </c>
      <c r="C274" s="2">
        <f t="shared" si="24"/>
        <v>-1.3019526887858679E-2</v>
      </c>
      <c r="D274">
        <f t="shared" si="27"/>
        <v>1025.2090090000002</v>
      </c>
      <c r="E274">
        <f t="shared" si="28"/>
        <v>1</v>
      </c>
      <c r="F274" s="2">
        <f t="shared" si="29"/>
        <v>-1.3019526887858679E-2</v>
      </c>
      <c r="G274" s="2">
        <f t="shared" si="25"/>
        <v>1.5177230415791556</v>
      </c>
      <c r="H274" s="2">
        <f t="shared" si="26"/>
        <v>1.6555093935663441</v>
      </c>
    </row>
    <row r="275" spans="1:8" x14ac:dyDescent="0.3">
      <c r="A275" s="1">
        <v>42825</v>
      </c>
      <c r="B275">
        <v>1071.790039</v>
      </c>
      <c r="C275" s="2">
        <f t="shared" si="24"/>
        <v>4.4191988361244938E-2</v>
      </c>
      <c r="D275">
        <f t="shared" si="27"/>
        <v>1046.2220215999998</v>
      </c>
      <c r="E275">
        <f t="shared" si="28"/>
        <v>1</v>
      </c>
      <c r="F275" s="2">
        <f t="shared" si="29"/>
        <v>4.4191988361244938E-2</v>
      </c>
      <c r="G275" s="2">
        <f t="shared" si="25"/>
        <v>1.5847942405682149</v>
      </c>
      <c r="H275" s="2">
        <f t="shared" si="26"/>
        <v>1.7286696454187596</v>
      </c>
    </row>
    <row r="276" spans="1:8" x14ac:dyDescent="0.3">
      <c r="A276" s="1">
        <v>42826</v>
      </c>
      <c r="B276">
        <v>1080.5</v>
      </c>
      <c r="C276" s="2">
        <f t="shared" si="24"/>
        <v>8.1265552795457552E-3</v>
      </c>
      <c r="D276">
        <f t="shared" si="27"/>
        <v>1053.1680176</v>
      </c>
      <c r="E276">
        <f t="shared" si="28"/>
        <v>1</v>
      </c>
      <c r="F276" s="2">
        <f t="shared" si="29"/>
        <v>8.1265552795457552E-3</v>
      </c>
      <c r="G276" s="2">
        <f t="shared" si="25"/>
        <v>1.5976731585708983</v>
      </c>
      <c r="H276" s="2">
        <f t="shared" si="26"/>
        <v>1.7427177748523279</v>
      </c>
    </row>
    <row r="277" spans="1:8" x14ac:dyDescent="0.3">
      <c r="A277" s="1">
        <v>42827</v>
      </c>
      <c r="B277">
        <v>1102.170044</v>
      </c>
      <c r="C277" s="2">
        <f t="shared" si="24"/>
        <v>2.0055570569180947E-2</v>
      </c>
      <c r="D277">
        <f t="shared" si="27"/>
        <v>1064.1720216000001</v>
      </c>
      <c r="E277">
        <f t="shared" si="28"/>
        <v>1</v>
      </c>
      <c r="F277" s="2">
        <f t="shared" si="29"/>
        <v>2.0055570569180947E-2</v>
      </c>
      <c r="G277" s="2">
        <f t="shared" si="25"/>
        <v>1.6297154053491032</v>
      </c>
      <c r="H277" s="2">
        <f t="shared" si="26"/>
        <v>1.7776689741680447</v>
      </c>
    </row>
    <row r="278" spans="1:8" x14ac:dyDescent="0.3">
      <c r="A278" s="1">
        <v>42828</v>
      </c>
      <c r="B278">
        <v>1143.8100589999999</v>
      </c>
      <c r="C278" s="2">
        <f t="shared" si="24"/>
        <v>3.7780027888328238E-2</v>
      </c>
      <c r="D278">
        <f t="shared" si="27"/>
        <v>1084.9400392</v>
      </c>
      <c r="E278">
        <f t="shared" si="28"/>
        <v>1</v>
      </c>
      <c r="F278" s="2">
        <f t="shared" si="29"/>
        <v>3.7780027888328238E-2</v>
      </c>
      <c r="G278" s="2">
        <f t="shared" si="25"/>
        <v>1.6912860988132306</v>
      </c>
      <c r="H278" s="2">
        <f t="shared" si="26"/>
        <v>1.8448293575883292</v>
      </c>
    </row>
    <row r="279" spans="1:8" x14ac:dyDescent="0.3">
      <c r="A279" s="1">
        <v>42829</v>
      </c>
      <c r="B279">
        <v>1133.25</v>
      </c>
      <c r="C279" s="2">
        <f t="shared" si="24"/>
        <v>-9.2323536735043898E-3</v>
      </c>
      <c r="D279">
        <f t="shared" si="27"/>
        <v>1106.3040283999999</v>
      </c>
      <c r="E279">
        <f t="shared" si="28"/>
        <v>1</v>
      </c>
      <c r="F279" s="2">
        <f t="shared" si="29"/>
        <v>-9.2323536735043898E-3</v>
      </c>
      <c r="G279" s="2">
        <f t="shared" si="25"/>
        <v>1.6756715473859054</v>
      </c>
      <c r="H279" s="2">
        <f t="shared" si="26"/>
        <v>1.8277972404918099</v>
      </c>
    </row>
    <row r="280" spans="1:8" x14ac:dyDescent="0.3">
      <c r="A280" s="1">
        <v>42830</v>
      </c>
      <c r="B280">
        <v>1124.780029</v>
      </c>
      <c r="C280" s="2">
        <f t="shared" si="24"/>
        <v>-7.4740533862783787E-3</v>
      </c>
      <c r="D280">
        <f t="shared" si="27"/>
        <v>1116.9020263999998</v>
      </c>
      <c r="E280">
        <f t="shared" si="28"/>
        <v>1</v>
      </c>
      <c r="F280" s="2">
        <f t="shared" si="29"/>
        <v>-7.4740533862783787E-3</v>
      </c>
      <c r="G280" s="2">
        <f t="shared" si="25"/>
        <v>1.6631474887828754</v>
      </c>
      <c r="H280" s="2">
        <f t="shared" si="26"/>
        <v>1.8141361863370817</v>
      </c>
    </row>
    <row r="281" spans="1:8" x14ac:dyDescent="0.3">
      <c r="A281" s="1">
        <v>42831</v>
      </c>
      <c r="B281">
        <v>1182.6800539999999</v>
      </c>
      <c r="C281" s="2">
        <f t="shared" si="24"/>
        <v>5.147675412718411E-2</v>
      </c>
      <c r="D281">
        <f t="shared" si="27"/>
        <v>1137.3380371999999</v>
      </c>
      <c r="E281">
        <f t="shared" si="28"/>
        <v>1</v>
      </c>
      <c r="F281" s="2">
        <f t="shared" si="29"/>
        <v>5.147675412718411E-2</v>
      </c>
      <c r="G281" s="2">
        <f t="shared" si="25"/>
        <v>1.7487609231401953</v>
      </c>
      <c r="H281" s="2">
        <f t="shared" si="26"/>
        <v>1.9075220287543833</v>
      </c>
    </row>
    <row r="282" spans="1:8" x14ac:dyDescent="0.3">
      <c r="A282" s="1">
        <v>42832</v>
      </c>
      <c r="B282">
        <v>1176.900024</v>
      </c>
      <c r="C282" s="2">
        <f t="shared" si="24"/>
        <v>-4.8872304732382466E-3</v>
      </c>
      <c r="D282">
        <f t="shared" si="27"/>
        <v>1152.2840332000001</v>
      </c>
      <c r="E282">
        <f t="shared" si="28"/>
        <v>1</v>
      </c>
      <c r="F282" s="2">
        <f t="shared" si="29"/>
        <v>-4.8872304732382466E-3</v>
      </c>
      <c r="G282" s="2">
        <f t="shared" si="25"/>
        <v>1.7402143254662163</v>
      </c>
      <c r="H282" s="2">
        <f t="shared" si="26"/>
        <v>1.8981995289670817</v>
      </c>
    </row>
    <row r="283" spans="1:8" x14ac:dyDescent="0.3">
      <c r="A283" s="1">
        <v>42833</v>
      </c>
      <c r="B283">
        <v>1175.9499510000001</v>
      </c>
      <c r="C283" s="2">
        <f t="shared" si="24"/>
        <v>-8.0726738093772621E-4</v>
      </c>
      <c r="D283">
        <f t="shared" si="27"/>
        <v>1158.7120116000001</v>
      </c>
      <c r="E283">
        <f t="shared" si="28"/>
        <v>1</v>
      </c>
      <c r="F283" s="2">
        <f t="shared" si="29"/>
        <v>-8.0726738093772621E-4</v>
      </c>
      <c r="G283" s="2">
        <f t="shared" si="25"/>
        <v>1.7388095072054268</v>
      </c>
      <c r="H283" s="2">
        <f t="shared" si="26"/>
        <v>1.8966671744048351</v>
      </c>
    </row>
    <row r="284" spans="1:8" x14ac:dyDescent="0.3">
      <c r="A284" s="1">
        <v>42834</v>
      </c>
      <c r="B284">
        <v>1187.869995</v>
      </c>
      <c r="C284" s="2">
        <f t="shared" si="24"/>
        <v>1.0136523233717165E-2</v>
      </c>
      <c r="D284">
        <f t="shared" si="27"/>
        <v>1169.6360106</v>
      </c>
      <c r="E284">
        <f t="shared" si="28"/>
        <v>1</v>
      </c>
      <c r="F284" s="2">
        <f t="shared" si="29"/>
        <v>1.0136523233717165E-2</v>
      </c>
      <c r="G284" s="2">
        <f t="shared" si="25"/>
        <v>1.7564349901742229</v>
      </c>
      <c r="H284" s="2">
        <f t="shared" si="26"/>
        <v>1.9158927852848184</v>
      </c>
    </row>
    <row r="285" spans="1:8" x14ac:dyDescent="0.3">
      <c r="A285" s="1">
        <v>42835</v>
      </c>
      <c r="B285">
        <v>1187.130005</v>
      </c>
      <c r="C285" s="2">
        <f t="shared" si="24"/>
        <v>-6.2295537652667932E-4</v>
      </c>
      <c r="D285">
        <f t="shared" si="27"/>
        <v>1182.1060058</v>
      </c>
      <c r="E285">
        <f t="shared" si="28"/>
        <v>1</v>
      </c>
      <c r="F285" s="2">
        <f t="shared" si="29"/>
        <v>-6.2295537652667932E-4</v>
      </c>
      <c r="G285" s="2">
        <f t="shared" si="25"/>
        <v>1.7553408095535743</v>
      </c>
      <c r="H285" s="2">
        <f t="shared" si="26"/>
        <v>1.9146992695733767</v>
      </c>
    </row>
    <row r="286" spans="1:8" x14ac:dyDescent="0.3">
      <c r="A286" s="1">
        <v>42836</v>
      </c>
      <c r="B286">
        <v>1205.01001</v>
      </c>
      <c r="C286" s="2">
        <f t="shared" si="24"/>
        <v>1.5061539110874378E-2</v>
      </c>
      <c r="D286">
        <f t="shared" si="27"/>
        <v>1186.571997</v>
      </c>
      <c r="E286">
        <f t="shared" si="28"/>
        <v>1</v>
      </c>
      <c r="F286" s="2">
        <f t="shared" si="29"/>
        <v>1.5061539110874378E-2</v>
      </c>
      <c r="G286" s="2">
        <f t="shared" si="25"/>
        <v>1.7817789438095792</v>
      </c>
      <c r="H286" s="2">
        <f t="shared" si="26"/>
        <v>1.9435375875076186</v>
      </c>
    </row>
    <row r="287" spans="1:8" x14ac:dyDescent="0.3">
      <c r="A287" s="1">
        <v>42837</v>
      </c>
      <c r="B287">
        <v>1200.369995</v>
      </c>
      <c r="C287" s="2">
        <f t="shared" si="24"/>
        <v>-3.8506028676059678E-3</v>
      </c>
      <c r="D287">
        <f t="shared" si="27"/>
        <v>1191.2659912000001</v>
      </c>
      <c r="E287">
        <f t="shared" si="28"/>
        <v>1</v>
      </c>
      <c r="F287" s="2">
        <f t="shared" si="29"/>
        <v>-3.8506028676059678E-3</v>
      </c>
      <c r="G287" s="2">
        <f t="shared" si="25"/>
        <v>1.7749180206991062</v>
      </c>
      <c r="H287" s="2">
        <f t="shared" si="26"/>
        <v>1.9360537960998618</v>
      </c>
    </row>
    <row r="288" spans="1:8" x14ac:dyDescent="0.3">
      <c r="A288" s="1">
        <v>42838</v>
      </c>
      <c r="B288">
        <v>1169.280029</v>
      </c>
      <c r="C288" s="2">
        <f t="shared" si="24"/>
        <v>-2.5900319176171971E-2</v>
      </c>
      <c r="D288">
        <f t="shared" si="27"/>
        <v>1189.9320068000002</v>
      </c>
      <c r="E288">
        <f t="shared" si="28"/>
        <v>0</v>
      </c>
      <c r="F288" s="2">
        <f t="shared" si="29"/>
        <v>-2.5900319176171971E-2</v>
      </c>
      <c r="G288" s="2">
        <f t="shared" si="25"/>
        <v>1.7289470774514599</v>
      </c>
      <c r="H288" s="2">
        <f t="shared" si="26"/>
        <v>1.8859093848386361</v>
      </c>
    </row>
    <row r="289" spans="1:8" x14ac:dyDescent="0.3">
      <c r="A289" s="1">
        <v>42839</v>
      </c>
      <c r="B289">
        <v>1167.540039</v>
      </c>
      <c r="C289" s="2">
        <f t="shared" si="24"/>
        <v>-1.4880866489168643E-3</v>
      </c>
      <c r="D289">
        <f t="shared" si="27"/>
        <v>1185.8660155999999</v>
      </c>
      <c r="E289">
        <f t="shared" si="28"/>
        <v>0</v>
      </c>
      <c r="F289" s="2">
        <f t="shared" si="29"/>
        <v>0</v>
      </c>
      <c r="G289" s="2">
        <f t="shared" si="25"/>
        <v>1.7263742543888205</v>
      </c>
      <c r="H289" s="2">
        <f t="shared" si="26"/>
        <v>1.8859093848386361</v>
      </c>
    </row>
    <row r="290" spans="1:8" x14ac:dyDescent="0.3">
      <c r="A290" s="1">
        <v>42840</v>
      </c>
      <c r="B290">
        <v>1172.5200199999999</v>
      </c>
      <c r="C290" s="2">
        <f t="shared" si="24"/>
        <v>4.2653620720924934E-3</v>
      </c>
      <c r="D290">
        <f t="shared" si="27"/>
        <v>1182.9440185999999</v>
      </c>
      <c r="E290">
        <f t="shared" si="28"/>
        <v>0</v>
      </c>
      <c r="F290" s="2">
        <f t="shared" si="29"/>
        <v>0</v>
      </c>
      <c r="G290" s="2">
        <f t="shared" si="25"/>
        <v>1.7337378656557276</v>
      </c>
      <c r="H290" s="2">
        <f t="shared" si="26"/>
        <v>1.8859093848386361</v>
      </c>
    </row>
    <row r="291" spans="1:8" x14ac:dyDescent="0.3">
      <c r="A291" s="1">
        <v>42841</v>
      </c>
      <c r="B291">
        <v>1182.9399410000001</v>
      </c>
      <c r="C291" s="2">
        <f t="shared" si="24"/>
        <v>8.886774487654403E-3</v>
      </c>
      <c r="D291">
        <f t="shared" si="27"/>
        <v>1178.5300048000001</v>
      </c>
      <c r="E291">
        <f t="shared" si="28"/>
        <v>1</v>
      </c>
      <c r="F291" s="2">
        <f t="shared" si="29"/>
        <v>0</v>
      </c>
      <c r="G291" s="2">
        <f t="shared" si="25"/>
        <v>1.7491452030885173</v>
      </c>
      <c r="H291" s="2">
        <f t="shared" si="26"/>
        <v>1.8859093848386361</v>
      </c>
    </row>
    <row r="292" spans="1:8" x14ac:dyDescent="0.3">
      <c r="A292" s="1">
        <v>42842</v>
      </c>
      <c r="B292">
        <v>1193.910034</v>
      </c>
      <c r="C292" s="2">
        <f t="shared" si="24"/>
        <v>9.2735840762350197E-3</v>
      </c>
      <c r="D292">
        <f t="shared" si="27"/>
        <v>1177.2380126</v>
      </c>
      <c r="E292">
        <f t="shared" si="28"/>
        <v>1</v>
      </c>
      <c r="F292" s="2">
        <f t="shared" si="29"/>
        <v>9.2735840762350197E-3</v>
      </c>
      <c r="G292" s="2">
        <f t="shared" si="25"/>
        <v>1.7653660481909019</v>
      </c>
      <c r="H292" s="2">
        <f t="shared" si="26"/>
        <v>1.9033985240790978</v>
      </c>
    </row>
    <row r="293" spans="1:8" x14ac:dyDescent="0.3">
      <c r="A293" s="1">
        <v>42843</v>
      </c>
      <c r="B293">
        <v>1211.670044</v>
      </c>
      <c r="C293" s="2">
        <f t="shared" si="24"/>
        <v>1.4875501079840925E-2</v>
      </c>
      <c r="D293">
        <f t="shared" si="27"/>
        <v>1185.7160156000002</v>
      </c>
      <c r="E293">
        <f t="shared" si="28"/>
        <v>1</v>
      </c>
      <c r="F293" s="2">
        <f t="shared" si="29"/>
        <v>1.4875501079840925E-2</v>
      </c>
      <c r="G293" s="2">
        <f t="shared" si="25"/>
        <v>1.7916267527470802</v>
      </c>
      <c r="H293" s="2">
        <f t="shared" si="26"/>
        <v>1.9317125308794041</v>
      </c>
    </row>
    <row r="294" spans="1:8" x14ac:dyDescent="0.3">
      <c r="A294" s="1">
        <v>42844</v>
      </c>
      <c r="B294">
        <v>1210.290039</v>
      </c>
      <c r="C294" s="2">
        <f t="shared" si="24"/>
        <v>-1.1389280496233445E-3</v>
      </c>
      <c r="D294">
        <f t="shared" si="27"/>
        <v>1194.2660155999997</v>
      </c>
      <c r="E294">
        <f t="shared" si="28"/>
        <v>1</v>
      </c>
      <c r="F294" s="2">
        <f t="shared" si="29"/>
        <v>-1.1389280496233445E-3</v>
      </c>
      <c r="G294" s="2">
        <f t="shared" si="25"/>
        <v>1.7895862187839209</v>
      </c>
      <c r="H294" s="2">
        <f t="shared" si="26"/>
        <v>1.9295124492941766</v>
      </c>
    </row>
    <row r="295" spans="1:8" x14ac:dyDescent="0.3">
      <c r="A295" s="1">
        <v>42845</v>
      </c>
      <c r="B295">
        <v>1229.079956</v>
      </c>
      <c r="C295" s="2">
        <f t="shared" si="24"/>
        <v>1.5525135624123054E-2</v>
      </c>
      <c r="D295">
        <f t="shared" si="27"/>
        <v>1205.5780028000001</v>
      </c>
      <c r="E295">
        <f t="shared" si="28"/>
        <v>1</v>
      </c>
      <c r="F295" s="2">
        <f t="shared" si="29"/>
        <v>1.5525135624123054E-2</v>
      </c>
      <c r="G295" s="2">
        <f t="shared" si="25"/>
        <v>1.8173697875416028</v>
      </c>
      <c r="H295" s="2">
        <f t="shared" si="26"/>
        <v>1.9594683917579026</v>
      </c>
    </row>
    <row r="296" spans="1:8" x14ac:dyDescent="0.3">
      <c r="A296" s="1">
        <v>42846</v>
      </c>
      <c r="B296">
        <v>1222.0500489999999</v>
      </c>
      <c r="C296" s="2">
        <f t="shared" si="24"/>
        <v>-5.7196498614123792E-3</v>
      </c>
      <c r="D296">
        <f t="shared" si="27"/>
        <v>1213.4000243999999</v>
      </c>
      <c r="E296">
        <f t="shared" si="28"/>
        <v>1</v>
      </c>
      <c r="F296" s="2">
        <f t="shared" si="29"/>
        <v>-5.7196498614123792E-3</v>
      </c>
      <c r="G296" s="2">
        <f t="shared" si="25"/>
        <v>1.8069750686881554</v>
      </c>
      <c r="H296" s="2">
        <f t="shared" si="26"/>
        <v>1.9482609186425426</v>
      </c>
    </row>
    <row r="297" spans="1:8" x14ac:dyDescent="0.3">
      <c r="A297" s="1">
        <v>42847</v>
      </c>
      <c r="B297">
        <v>1231.709961</v>
      </c>
      <c r="C297" s="2">
        <f t="shared" si="24"/>
        <v>7.9046778877058799E-3</v>
      </c>
      <c r="D297">
        <f t="shared" si="27"/>
        <v>1220.9600097999999</v>
      </c>
      <c r="E297">
        <f t="shared" si="28"/>
        <v>1</v>
      </c>
      <c r="F297" s="2">
        <f t="shared" si="29"/>
        <v>7.9046778877058799E-3</v>
      </c>
      <c r="G297" s="2">
        <f t="shared" si="25"/>
        <v>1.8212586245572504</v>
      </c>
      <c r="H297" s="2">
        <f t="shared" si="26"/>
        <v>1.9636612936456179</v>
      </c>
    </row>
    <row r="298" spans="1:8" x14ac:dyDescent="0.3">
      <c r="A298" s="1">
        <v>42848</v>
      </c>
      <c r="B298">
        <v>1207.209961</v>
      </c>
      <c r="C298" s="2">
        <f t="shared" si="24"/>
        <v>-1.9891046411696589E-2</v>
      </c>
      <c r="D298">
        <f t="shared" si="27"/>
        <v>1220.0679931999998</v>
      </c>
      <c r="E298">
        <f t="shared" si="28"/>
        <v>0</v>
      </c>
      <c r="F298" s="2">
        <f t="shared" si="29"/>
        <v>-1.9891046411696589E-2</v>
      </c>
      <c r="G298" s="2">
        <f t="shared" si="25"/>
        <v>1.7850318847284794</v>
      </c>
      <c r="H298" s="2">
        <f t="shared" si="26"/>
        <v>1.9246020157168608</v>
      </c>
    </row>
    <row r="299" spans="1:8" x14ac:dyDescent="0.3">
      <c r="A299" s="1">
        <v>42849</v>
      </c>
      <c r="B299">
        <v>1250.150024</v>
      </c>
      <c r="C299" s="2">
        <f t="shared" si="24"/>
        <v>3.5569672540168851E-2</v>
      </c>
      <c r="D299">
        <f t="shared" si="27"/>
        <v>1228.0399902000001</v>
      </c>
      <c r="E299">
        <f t="shared" si="28"/>
        <v>1</v>
      </c>
      <c r="F299" s="2">
        <f t="shared" si="29"/>
        <v>0</v>
      </c>
      <c r="G299" s="2">
        <f t="shared" si="25"/>
        <v>1.8485248843420319</v>
      </c>
      <c r="H299" s="2">
        <f t="shared" si="26"/>
        <v>1.9246020157168608</v>
      </c>
    </row>
    <row r="300" spans="1:8" x14ac:dyDescent="0.3">
      <c r="A300" s="1">
        <v>42850</v>
      </c>
      <c r="B300">
        <v>1265.48999</v>
      </c>
      <c r="C300" s="2">
        <f t="shared" si="24"/>
        <v>1.22705001043939E-2</v>
      </c>
      <c r="D300">
        <f t="shared" si="27"/>
        <v>1235.321997</v>
      </c>
      <c r="E300">
        <f t="shared" si="28"/>
        <v>1</v>
      </c>
      <c r="F300" s="2">
        <f t="shared" si="29"/>
        <v>1.22705001043939E-2</v>
      </c>
      <c r="G300" s="2">
        <f t="shared" si="25"/>
        <v>1.8712072091283256</v>
      </c>
      <c r="H300" s="2">
        <f t="shared" si="26"/>
        <v>1.9482178449516312</v>
      </c>
    </row>
    <row r="301" spans="1:8" x14ac:dyDescent="0.3">
      <c r="A301" s="1">
        <v>42851</v>
      </c>
      <c r="B301">
        <v>1281.079956</v>
      </c>
      <c r="C301" s="2">
        <f t="shared" si="24"/>
        <v>1.231931198444336E-2</v>
      </c>
      <c r="D301">
        <f t="shared" si="27"/>
        <v>1247.1279783999998</v>
      </c>
      <c r="E301">
        <f t="shared" si="28"/>
        <v>1</v>
      </c>
      <c r="F301" s="2">
        <f t="shared" si="29"/>
        <v>1.231931198444336E-2</v>
      </c>
      <c r="G301" s="2">
        <f t="shared" si="25"/>
        <v>1.894259194525117</v>
      </c>
      <c r="H301" s="2">
        <f t="shared" si="26"/>
        <v>1.9722185483972503</v>
      </c>
    </row>
    <row r="302" spans="1:8" x14ac:dyDescent="0.3">
      <c r="A302" s="1">
        <v>42852</v>
      </c>
      <c r="B302">
        <v>1317.7299800000001</v>
      </c>
      <c r="C302" s="2">
        <f t="shared" si="24"/>
        <v>2.8608693648158212E-2</v>
      </c>
      <c r="D302">
        <f t="shared" si="27"/>
        <v>1264.3319822000001</v>
      </c>
      <c r="E302">
        <f t="shared" si="28"/>
        <v>1</v>
      </c>
      <c r="F302" s="2">
        <f t="shared" si="29"/>
        <v>2.8608693648158212E-2</v>
      </c>
      <c r="G302" s="2">
        <f t="shared" si="25"/>
        <v>1.948451475511493</v>
      </c>
      <c r="H302" s="2">
        <f t="shared" si="26"/>
        <v>2.0286411446555626</v>
      </c>
    </row>
    <row r="303" spans="1:8" x14ac:dyDescent="0.3">
      <c r="A303" s="1">
        <v>42853</v>
      </c>
      <c r="B303">
        <v>1316.4799800000001</v>
      </c>
      <c r="C303" s="2">
        <f t="shared" si="24"/>
        <v>-9.4860101763794002E-4</v>
      </c>
      <c r="D303">
        <f t="shared" si="27"/>
        <v>1286.185986</v>
      </c>
      <c r="E303">
        <f t="shared" si="28"/>
        <v>1</v>
      </c>
      <c r="F303" s="2">
        <f t="shared" si="29"/>
        <v>-9.4860101763794002E-4</v>
      </c>
      <c r="G303" s="2">
        <f t="shared" si="25"/>
        <v>1.9466031724590047</v>
      </c>
      <c r="H303" s="2">
        <f t="shared" si="26"/>
        <v>2.0267167736013203</v>
      </c>
    </row>
    <row r="304" spans="1:8" x14ac:dyDescent="0.3">
      <c r="A304" s="1">
        <v>42854</v>
      </c>
      <c r="B304">
        <v>1321.790039</v>
      </c>
      <c r="C304" s="2">
        <f t="shared" si="24"/>
        <v>4.0335281057597427E-3</v>
      </c>
      <c r="D304">
        <f t="shared" si="27"/>
        <v>1300.5139889999998</v>
      </c>
      <c r="E304">
        <f t="shared" si="28"/>
        <v>1</v>
      </c>
      <c r="F304" s="2">
        <f t="shared" si="29"/>
        <v>4.0335281057597427E-3</v>
      </c>
      <c r="G304" s="2">
        <f t="shared" si="25"/>
        <v>1.9544548510658792</v>
      </c>
      <c r="H304" s="2">
        <f t="shared" si="26"/>
        <v>2.0348915926700561</v>
      </c>
    </row>
    <row r="305" spans="1:8" x14ac:dyDescent="0.3">
      <c r="A305" s="1">
        <v>42855</v>
      </c>
      <c r="B305">
        <v>1347.8900149999999</v>
      </c>
      <c r="C305" s="2">
        <f t="shared" si="24"/>
        <v>1.9745931827225727E-2</v>
      </c>
      <c r="D305">
        <f t="shared" si="27"/>
        <v>1316.9939939999999</v>
      </c>
      <c r="E305">
        <f t="shared" si="28"/>
        <v>1</v>
      </c>
      <c r="F305" s="2">
        <f t="shared" si="29"/>
        <v>1.9745931827225727E-2</v>
      </c>
      <c r="G305" s="2">
        <f t="shared" si="25"/>
        <v>1.9930473833144167</v>
      </c>
      <c r="H305" s="2">
        <f t="shared" si="26"/>
        <v>2.075072423334714</v>
      </c>
    </row>
    <row r="306" spans="1:8" x14ac:dyDescent="0.3">
      <c r="A306" s="1">
        <v>42856</v>
      </c>
      <c r="B306">
        <v>1421.599976</v>
      </c>
      <c r="C306" s="2">
        <f t="shared" si="24"/>
        <v>5.4685441823678849E-2</v>
      </c>
      <c r="D306">
        <f t="shared" si="27"/>
        <v>1345.097998</v>
      </c>
      <c r="E306">
        <f t="shared" si="28"/>
        <v>1</v>
      </c>
      <c r="F306" s="2">
        <f t="shared" si="29"/>
        <v>5.4685441823678849E-2</v>
      </c>
      <c r="G306" s="2">
        <f t="shared" si="25"/>
        <v>2.1020380600464925</v>
      </c>
      <c r="H306" s="2">
        <f t="shared" si="26"/>
        <v>2.1885486756209049</v>
      </c>
    </row>
    <row r="307" spans="1:8" x14ac:dyDescent="0.3">
      <c r="A307" s="1">
        <v>42857</v>
      </c>
      <c r="B307">
        <v>1452.8199460000001</v>
      </c>
      <c r="C307" s="2">
        <f t="shared" si="24"/>
        <v>2.1961149779873068E-2</v>
      </c>
      <c r="D307">
        <f t="shared" si="27"/>
        <v>1372.1159911999998</v>
      </c>
      <c r="E307">
        <f t="shared" si="28"/>
        <v>1</v>
      </c>
      <c r="F307" s="2">
        <f t="shared" si="29"/>
        <v>2.1961149779873068E-2</v>
      </c>
      <c r="G307" s="2">
        <f t="shared" si="25"/>
        <v>2.1482012327261675</v>
      </c>
      <c r="H307" s="2">
        <f t="shared" si="26"/>
        <v>2.2366117208867586</v>
      </c>
    </row>
    <row r="308" spans="1:8" x14ac:dyDescent="0.3">
      <c r="A308" s="1">
        <v>42858</v>
      </c>
      <c r="B308">
        <v>1490.089966</v>
      </c>
      <c r="C308" s="2">
        <f t="shared" si="24"/>
        <v>2.5653571251285534E-2</v>
      </c>
      <c r="D308">
        <f t="shared" si="27"/>
        <v>1406.8379883999999</v>
      </c>
      <c r="E308">
        <f t="shared" si="28"/>
        <v>1</v>
      </c>
      <c r="F308" s="2">
        <f t="shared" si="29"/>
        <v>2.5653571251285534E-2</v>
      </c>
      <c r="G308" s="2">
        <f t="shared" si="25"/>
        <v>2.2033102661120076</v>
      </c>
      <c r="H308" s="2">
        <f t="shared" si="26"/>
        <v>2.2939887990299876</v>
      </c>
    </row>
    <row r="309" spans="1:8" x14ac:dyDescent="0.3">
      <c r="A309" s="1">
        <v>42859</v>
      </c>
      <c r="B309">
        <v>1537.670044</v>
      </c>
      <c r="C309" s="2">
        <f t="shared" si="24"/>
        <v>3.1931010264919735E-2</v>
      </c>
      <c r="D309">
        <f t="shared" si="27"/>
        <v>1450.0139893999999</v>
      </c>
      <c r="E309">
        <f t="shared" si="28"/>
        <v>1</v>
      </c>
      <c r="F309" s="2">
        <f t="shared" si="29"/>
        <v>3.1931010264919735E-2</v>
      </c>
      <c r="G309" s="2">
        <f t="shared" si="25"/>
        <v>2.2736641888360332</v>
      </c>
      <c r="H309" s="2">
        <f t="shared" si="26"/>
        <v>2.367238178919425</v>
      </c>
    </row>
    <row r="310" spans="1:8" x14ac:dyDescent="0.3">
      <c r="A310" s="1">
        <v>42860</v>
      </c>
      <c r="B310">
        <v>1555.4499510000001</v>
      </c>
      <c r="C310" s="2">
        <f t="shared" si="24"/>
        <v>1.1562888325344911E-2</v>
      </c>
      <c r="D310">
        <f t="shared" si="27"/>
        <v>1491.5259766000004</v>
      </c>
      <c r="E310">
        <f t="shared" si="28"/>
        <v>1</v>
      </c>
      <c r="F310" s="2">
        <f t="shared" si="29"/>
        <v>1.1562888325344911E-2</v>
      </c>
      <c r="G310" s="2">
        <f t="shared" si="25"/>
        <v>2.29995431394088</v>
      </c>
      <c r="H310" s="2">
        <f t="shared" si="26"/>
        <v>2.3946102896217631</v>
      </c>
    </row>
    <row r="311" spans="1:8" x14ac:dyDescent="0.3">
      <c r="A311" s="1">
        <v>42861</v>
      </c>
      <c r="B311">
        <v>1578.8000489999999</v>
      </c>
      <c r="C311" s="2">
        <f t="shared" si="24"/>
        <v>1.5011796416199763E-2</v>
      </c>
      <c r="D311">
        <f t="shared" si="27"/>
        <v>1522.9659912</v>
      </c>
      <c r="E311">
        <f t="shared" si="28"/>
        <v>1</v>
      </c>
      <c r="F311" s="2">
        <f t="shared" si="29"/>
        <v>1.5011796416199763E-2</v>
      </c>
      <c r="G311" s="2">
        <f t="shared" si="25"/>
        <v>2.3344807598683208</v>
      </c>
      <c r="H311" s="2">
        <f t="shared" si="26"/>
        <v>2.4305576917857024</v>
      </c>
    </row>
    <row r="312" spans="1:8" x14ac:dyDescent="0.3">
      <c r="A312" s="1">
        <v>42862</v>
      </c>
      <c r="B312">
        <v>1596.709961</v>
      </c>
      <c r="C312" s="2">
        <f t="shared" si="24"/>
        <v>1.1344002688208787E-2</v>
      </c>
      <c r="D312">
        <f t="shared" si="27"/>
        <v>1551.7439942000001</v>
      </c>
      <c r="E312">
        <f t="shared" si="28"/>
        <v>1</v>
      </c>
      <c r="F312" s="2">
        <f t="shared" si="29"/>
        <v>1.1344002688208787E-2</v>
      </c>
      <c r="G312" s="2">
        <f t="shared" si="25"/>
        <v>2.3609631158838389</v>
      </c>
      <c r="H312" s="2">
        <f t="shared" si="26"/>
        <v>2.4581299447751661</v>
      </c>
    </row>
    <row r="313" spans="1:8" x14ac:dyDescent="0.3">
      <c r="A313" s="1">
        <v>42863</v>
      </c>
      <c r="B313">
        <v>1723.349976</v>
      </c>
      <c r="C313" s="2">
        <f t="shared" si="24"/>
        <v>7.9313098867803689E-2</v>
      </c>
      <c r="D313">
        <f t="shared" si="27"/>
        <v>1598.3959962000001</v>
      </c>
      <c r="E313">
        <f t="shared" si="28"/>
        <v>1</v>
      </c>
      <c r="F313" s="2">
        <f t="shared" si="29"/>
        <v>7.9313098867803689E-2</v>
      </c>
      <c r="G313" s="2">
        <f t="shared" si="25"/>
        <v>2.5482184169171718</v>
      </c>
      <c r="H313" s="2">
        <f t="shared" si="26"/>
        <v>2.6530918481150279</v>
      </c>
    </row>
    <row r="314" spans="1:8" x14ac:dyDescent="0.3">
      <c r="A314" s="1">
        <v>42864</v>
      </c>
      <c r="B314">
        <v>1755.3599850000001</v>
      </c>
      <c r="C314" s="2">
        <f t="shared" si="24"/>
        <v>1.8574293930880614E-2</v>
      </c>
      <c r="D314">
        <f t="shared" si="27"/>
        <v>1641.9339844000001</v>
      </c>
      <c r="E314">
        <f t="shared" si="28"/>
        <v>1</v>
      </c>
      <c r="F314" s="2">
        <f t="shared" si="29"/>
        <v>1.8574293930880614E-2</v>
      </c>
      <c r="G314" s="2">
        <f t="shared" si="25"/>
        <v>2.5955497747930747</v>
      </c>
      <c r="H314" s="2">
        <f t="shared" si="26"/>
        <v>2.7023711559275396</v>
      </c>
    </row>
    <row r="315" spans="1:8" x14ac:dyDescent="0.3">
      <c r="A315" s="1">
        <v>42865</v>
      </c>
      <c r="B315">
        <v>1787.130005</v>
      </c>
      <c r="C315" s="2">
        <f t="shared" si="24"/>
        <v>1.8098863065971083E-2</v>
      </c>
      <c r="D315">
        <f t="shared" si="27"/>
        <v>1688.2699951999998</v>
      </c>
      <c r="E315">
        <f t="shared" si="28"/>
        <v>1</v>
      </c>
      <c r="F315" s="2">
        <f t="shared" si="29"/>
        <v>1.8098863065971083E-2</v>
      </c>
      <c r="G315" s="2">
        <f t="shared" si="25"/>
        <v>2.6425262747479668</v>
      </c>
      <c r="H315" s="2">
        <f t="shared" si="26"/>
        <v>2.7512810014321021</v>
      </c>
    </row>
    <row r="316" spans="1:8" x14ac:dyDescent="0.3">
      <c r="A316" s="1">
        <v>42866</v>
      </c>
      <c r="B316">
        <v>1848.5699460000001</v>
      </c>
      <c r="C316" s="2">
        <f t="shared" si="24"/>
        <v>3.4379111104454907E-2</v>
      </c>
      <c r="D316">
        <f t="shared" si="27"/>
        <v>1742.2239746</v>
      </c>
      <c r="E316">
        <f t="shared" si="28"/>
        <v>1</v>
      </c>
      <c r="F316" s="2">
        <f t="shared" si="29"/>
        <v>3.4379111104454907E-2</v>
      </c>
      <c r="G316" s="2">
        <f t="shared" si="25"/>
        <v>2.7333739791439684</v>
      </c>
      <c r="H316" s="2">
        <f t="shared" si="26"/>
        <v>2.8458675966599123</v>
      </c>
    </row>
    <row r="317" spans="1:8" x14ac:dyDescent="0.3">
      <c r="A317" s="1">
        <v>42867</v>
      </c>
      <c r="B317">
        <v>1724.23999</v>
      </c>
      <c r="C317" s="2">
        <f t="shared" si="24"/>
        <v>-6.7257371715378933E-2</v>
      </c>
      <c r="D317">
        <f t="shared" si="27"/>
        <v>1767.7299803999999</v>
      </c>
      <c r="E317">
        <f t="shared" si="28"/>
        <v>0</v>
      </c>
      <c r="F317" s="2">
        <f t="shared" si="29"/>
        <v>-6.7257371715378933E-2</v>
      </c>
      <c r="G317" s="2">
        <f t="shared" si="25"/>
        <v>2.5495344293915383</v>
      </c>
      <c r="H317" s="2">
        <f t="shared" si="26"/>
        <v>2.6544620218586044</v>
      </c>
    </row>
    <row r="318" spans="1:8" x14ac:dyDescent="0.3">
      <c r="A318" s="1">
        <v>42868</v>
      </c>
      <c r="B318">
        <v>1804.910034</v>
      </c>
      <c r="C318" s="2">
        <f t="shared" si="24"/>
        <v>4.6785856068678688E-2</v>
      </c>
      <c r="D318">
        <f t="shared" si="27"/>
        <v>1784.0419919999999</v>
      </c>
      <c r="E318">
        <f t="shared" si="28"/>
        <v>1</v>
      </c>
      <c r="F318" s="2">
        <f t="shared" si="29"/>
        <v>0</v>
      </c>
      <c r="G318" s="2">
        <f t="shared" si="25"/>
        <v>2.6688165802471917</v>
      </c>
      <c r="H318" s="2">
        <f t="shared" si="26"/>
        <v>2.6544620218586044</v>
      </c>
    </row>
    <row r="319" spans="1:8" x14ac:dyDescent="0.3">
      <c r="A319" s="1">
        <v>42869</v>
      </c>
      <c r="B319">
        <v>1808.910034</v>
      </c>
      <c r="C319" s="2">
        <f t="shared" si="24"/>
        <v>2.2161769421467081E-3</v>
      </c>
      <c r="D319">
        <f t="shared" si="27"/>
        <v>1794.7520018000002</v>
      </c>
      <c r="E319">
        <f t="shared" si="28"/>
        <v>1</v>
      </c>
      <c r="F319" s="2">
        <f t="shared" si="29"/>
        <v>2.2161769421467081E-3</v>
      </c>
      <c r="G319" s="2">
        <f t="shared" si="25"/>
        <v>2.6747311500151545</v>
      </c>
      <c r="H319" s="2">
        <f t="shared" si="26"/>
        <v>2.6603447793852517</v>
      </c>
    </row>
    <row r="320" spans="1:8" x14ac:dyDescent="0.3">
      <c r="A320" s="1">
        <v>42870</v>
      </c>
      <c r="B320">
        <v>1738.4300539999999</v>
      </c>
      <c r="C320" s="2">
        <f t="shared" si="24"/>
        <v>-3.8962678450154553E-2</v>
      </c>
      <c r="D320">
        <f t="shared" si="27"/>
        <v>1785.0120116000003</v>
      </c>
      <c r="E320">
        <f t="shared" si="28"/>
        <v>0</v>
      </c>
      <c r="F320" s="2">
        <f t="shared" si="29"/>
        <v>-3.8962678450154553E-2</v>
      </c>
      <c r="G320" s="2">
        <f t="shared" si="25"/>
        <v>2.5705164602765018</v>
      </c>
      <c r="H320" s="2">
        <f t="shared" si="26"/>
        <v>2.5566906211795168</v>
      </c>
    </row>
    <row r="321" spans="1:8" x14ac:dyDescent="0.3">
      <c r="A321" s="1">
        <v>42871</v>
      </c>
      <c r="B321">
        <v>1734.4499510000001</v>
      </c>
      <c r="C321" s="2">
        <f t="shared" si="24"/>
        <v>-2.2894812424819611E-3</v>
      </c>
      <c r="D321">
        <f t="shared" si="27"/>
        <v>1762.1880126000001</v>
      </c>
      <c r="E321">
        <f t="shared" si="28"/>
        <v>0</v>
      </c>
      <c r="F321" s="2">
        <f t="shared" si="29"/>
        <v>0</v>
      </c>
      <c r="G321" s="2">
        <f t="shared" si="25"/>
        <v>2.5646313110572074</v>
      </c>
      <c r="H321" s="2">
        <f t="shared" si="26"/>
        <v>2.5566906211795168</v>
      </c>
    </row>
    <row r="322" spans="1:8" x14ac:dyDescent="0.3">
      <c r="A322" s="1">
        <v>42872</v>
      </c>
      <c r="B322">
        <v>1839.089966</v>
      </c>
      <c r="C322" s="2">
        <f t="shared" si="24"/>
        <v>6.0330374445033419E-2</v>
      </c>
      <c r="D322">
        <f t="shared" si="27"/>
        <v>1785.1580078</v>
      </c>
      <c r="E322">
        <f t="shared" si="28"/>
        <v>1</v>
      </c>
      <c r="F322" s="2">
        <f t="shared" si="29"/>
        <v>0</v>
      </c>
      <c r="G322" s="2">
        <f t="shared" si="25"/>
        <v>2.7193564783667457</v>
      </c>
      <c r="H322" s="2">
        <f t="shared" si="26"/>
        <v>2.5566906211795168</v>
      </c>
    </row>
    <row r="323" spans="1:8" x14ac:dyDescent="0.3">
      <c r="A323" s="1">
        <v>42873</v>
      </c>
      <c r="B323">
        <v>1888.650024</v>
      </c>
      <c r="C323" s="2">
        <f t="shared" si="24"/>
        <v>2.6948142242215978E-2</v>
      </c>
      <c r="D323">
        <f t="shared" si="27"/>
        <v>1801.9060058</v>
      </c>
      <c r="E323">
        <f t="shared" si="28"/>
        <v>1</v>
      </c>
      <c r="F323" s="2">
        <f t="shared" si="29"/>
        <v>2.6948142242215978E-2</v>
      </c>
      <c r="G323" s="2">
        <f t="shared" si="25"/>
        <v>2.7926380835530642</v>
      </c>
      <c r="H323" s="2">
        <f t="shared" si="26"/>
        <v>2.6255886837084019</v>
      </c>
    </row>
    <row r="324" spans="1:8" x14ac:dyDescent="0.3">
      <c r="A324" s="1">
        <v>42874</v>
      </c>
      <c r="B324">
        <v>1987.709961</v>
      </c>
      <c r="C324" s="2">
        <f t="shared" ref="C324:C387" si="30">B324/B323-1</f>
        <v>5.2450128791039496E-2</v>
      </c>
      <c r="D324">
        <f t="shared" si="27"/>
        <v>1837.6659912000002</v>
      </c>
      <c r="E324">
        <f t="shared" si="28"/>
        <v>1</v>
      </c>
      <c r="F324" s="2">
        <f t="shared" si="29"/>
        <v>5.2450128791039496E-2</v>
      </c>
      <c r="G324" s="2">
        <f t="shared" ref="G324:G387" si="31">(1+C324)*G323</f>
        <v>2.9391123107021841</v>
      </c>
      <c r="H324" s="2">
        <f t="shared" ref="H324:H387" si="32">(1+F324)*H323</f>
        <v>2.7633011483212035</v>
      </c>
    </row>
    <row r="325" spans="1:8" x14ac:dyDescent="0.3">
      <c r="A325" s="1">
        <v>42875</v>
      </c>
      <c r="B325">
        <v>2084.7299800000001</v>
      </c>
      <c r="C325" s="2">
        <f t="shared" si="30"/>
        <v>4.8809947579671054E-2</v>
      </c>
      <c r="D325">
        <f t="shared" si="27"/>
        <v>1906.9259764000003</v>
      </c>
      <c r="E325">
        <f t="shared" si="28"/>
        <v>1</v>
      </c>
      <c r="F325" s="2">
        <f t="shared" si="29"/>
        <v>4.8809947579671054E-2</v>
      </c>
      <c r="G325" s="2">
        <f t="shared" si="31"/>
        <v>3.0825702285183234</v>
      </c>
      <c r="H325" s="2">
        <f t="shared" si="32"/>
        <v>2.8981777325176061</v>
      </c>
    </row>
    <row r="326" spans="1:8" x14ac:dyDescent="0.3">
      <c r="A326" s="1">
        <v>42876</v>
      </c>
      <c r="B326">
        <v>2041.1999510000001</v>
      </c>
      <c r="C326" s="2">
        <f t="shared" si="30"/>
        <v>-2.0880415889639625E-2</v>
      </c>
      <c r="D326">
        <f t="shared" si="27"/>
        <v>1968.2759764000002</v>
      </c>
      <c r="E326">
        <f t="shared" si="28"/>
        <v>1</v>
      </c>
      <c r="F326" s="2">
        <f t="shared" si="29"/>
        <v>-2.0880415889639625E-2</v>
      </c>
      <c r="G326" s="2">
        <f t="shared" si="31"/>
        <v>3.0182048801378394</v>
      </c>
      <c r="H326" s="2">
        <f t="shared" si="32"/>
        <v>2.8376625761405458</v>
      </c>
    </row>
    <row r="327" spans="1:8" x14ac:dyDescent="0.3">
      <c r="A327" s="1">
        <v>42877</v>
      </c>
      <c r="B327">
        <v>2173.3999020000001</v>
      </c>
      <c r="C327" s="2">
        <f t="shared" si="30"/>
        <v>6.4765801574330872E-2</v>
      </c>
      <c r="D327">
        <f t="shared" ref="D327:D390" si="33">AVERAGE(B323:B327)</f>
        <v>2035.1379635999997</v>
      </c>
      <c r="E327">
        <f t="shared" ref="E327:E390" si="34">IF(B327&gt;D327,1,0)</f>
        <v>1</v>
      </c>
      <c r="F327" s="2">
        <f t="shared" si="29"/>
        <v>6.4765801574330872E-2</v>
      </c>
      <c r="G327" s="2">
        <f t="shared" si="31"/>
        <v>3.2136813385155238</v>
      </c>
      <c r="H327" s="2">
        <f t="shared" si="32"/>
        <v>3.0214460674817691</v>
      </c>
    </row>
    <row r="328" spans="1:8" x14ac:dyDescent="0.3">
      <c r="A328" s="1">
        <v>42878</v>
      </c>
      <c r="B328">
        <v>2320.419922</v>
      </c>
      <c r="C328" s="2">
        <f t="shared" si="30"/>
        <v>6.7645176511101246E-2</v>
      </c>
      <c r="D328">
        <f t="shared" si="33"/>
        <v>2121.4919432000002</v>
      </c>
      <c r="E328">
        <f t="shared" si="34"/>
        <v>1</v>
      </c>
      <c r="F328" s="2">
        <f t="shared" ref="F328:F391" si="35">E327*C328</f>
        <v>6.7645176511101246E-2</v>
      </c>
      <c r="G328" s="2">
        <f t="shared" si="31"/>
        <v>3.4310713799098385</v>
      </c>
      <c r="H328" s="2">
        <f t="shared" si="32"/>
        <v>3.2258323200353463</v>
      </c>
    </row>
    <row r="329" spans="1:8" x14ac:dyDescent="0.3">
      <c r="A329" s="1">
        <v>42879</v>
      </c>
      <c r="B329">
        <v>2443.639893</v>
      </c>
      <c r="C329" s="2">
        <f t="shared" si="30"/>
        <v>5.3102444877216382E-2</v>
      </c>
      <c r="D329">
        <f t="shared" si="33"/>
        <v>2212.6779296</v>
      </c>
      <c r="E329">
        <f t="shared" si="34"/>
        <v>1</v>
      </c>
      <c r="F329" s="2">
        <f t="shared" si="35"/>
        <v>5.3102444877216382E-2</v>
      </c>
      <c r="G329" s="2">
        <f t="shared" si="31"/>
        <v>3.6132696587312956</v>
      </c>
      <c r="H329" s="2">
        <f t="shared" si="32"/>
        <v>3.3971319029931664</v>
      </c>
    </row>
    <row r="330" spans="1:8" x14ac:dyDescent="0.3">
      <c r="A330" s="1">
        <v>42880</v>
      </c>
      <c r="B330">
        <v>2304.9799800000001</v>
      </c>
      <c r="C330" s="2">
        <f t="shared" si="30"/>
        <v>-5.6743186014110436E-2</v>
      </c>
      <c r="D330">
        <f t="shared" si="33"/>
        <v>2256.7279296000002</v>
      </c>
      <c r="E330">
        <f t="shared" si="34"/>
        <v>1</v>
      </c>
      <c r="F330" s="2">
        <f t="shared" si="35"/>
        <v>-5.6743186014110436E-2</v>
      </c>
      <c r="G330" s="2">
        <f t="shared" si="31"/>
        <v>3.4082412263667643</v>
      </c>
      <c r="H330" s="2">
        <f t="shared" si="32"/>
        <v>3.204367815507156</v>
      </c>
    </row>
    <row r="331" spans="1:8" x14ac:dyDescent="0.3">
      <c r="A331" s="1">
        <v>42881</v>
      </c>
      <c r="B331">
        <v>2202.419922</v>
      </c>
      <c r="C331" s="2">
        <f t="shared" si="30"/>
        <v>-4.4494988628925092E-2</v>
      </c>
      <c r="D331">
        <f t="shared" si="33"/>
        <v>2288.9719237999998</v>
      </c>
      <c r="E331">
        <f t="shared" si="34"/>
        <v>0</v>
      </c>
      <c r="F331" s="2">
        <f t="shared" si="35"/>
        <v>-4.4494988628925092E-2</v>
      </c>
      <c r="G331" s="2">
        <f t="shared" si="31"/>
        <v>3.2565915717549414</v>
      </c>
      <c r="H331" s="2">
        <f t="shared" si="32"/>
        <v>3.0617895059932714</v>
      </c>
    </row>
    <row r="332" spans="1:8" x14ac:dyDescent="0.3">
      <c r="A332" s="1">
        <v>42882</v>
      </c>
      <c r="B332">
        <v>2038.869995</v>
      </c>
      <c r="C332" s="2">
        <f t="shared" si="30"/>
        <v>-7.4259193429144776E-2</v>
      </c>
      <c r="D332">
        <f t="shared" si="33"/>
        <v>2262.0659424000005</v>
      </c>
      <c r="E332">
        <f t="shared" si="34"/>
        <v>0</v>
      </c>
      <c r="F332" s="2">
        <f t="shared" si="35"/>
        <v>0</v>
      </c>
      <c r="G332" s="2">
        <f t="shared" si="31"/>
        <v>3.0147597083082687</v>
      </c>
      <c r="H332" s="2">
        <f t="shared" si="32"/>
        <v>3.0617895059932714</v>
      </c>
    </row>
    <row r="333" spans="1:8" x14ac:dyDescent="0.3">
      <c r="A333" s="1">
        <v>42883</v>
      </c>
      <c r="B333">
        <v>2155.8000489999999</v>
      </c>
      <c r="C333" s="2">
        <f t="shared" si="30"/>
        <v>5.7350421697681675E-2</v>
      </c>
      <c r="D333">
        <f t="shared" si="33"/>
        <v>2229.1419677999997</v>
      </c>
      <c r="E333">
        <f t="shared" si="34"/>
        <v>0</v>
      </c>
      <c r="F333" s="2">
        <f t="shared" si="35"/>
        <v>0</v>
      </c>
      <c r="G333" s="2">
        <f t="shared" si="31"/>
        <v>3.1876574488969278</v>
      </c>
      <c r="H333" s="2">
        <f t="shared" si="32"/>
        <v>3.0617895059932714</v>
      </c>
    </row>
    <row r="334" spans="1:8" x14ac:dyDescent="0.3">
      <c r="A334" s="1">
        <v>42884</v>
      </c>
      <c r="B334">
        <v>2255.610107</v>
      </c>
      <c r="C334" s="2">
        <f t="shared" si="30"/>
        <v>4.6298383770006168E-2</v>
      </c>
      <c r="D334">
        <f t="shared" si="33"/>
        <v>2191.5360105999998</v>
      </c>
      <c r="E334">
        <f t="shared" si="34"/>
        <v>1</v>
      </c>
      <c r="F334" s="2">
        <f t="shared" si="35"/>
        <v>0</v>
      </c>
      <c r="G334" s="2">
        <f t="shared" si="31"/>
        <v>3.3352408367932767</v>
      </c>
      <c r="H334" s="2">
        <f t="shared" si="32"/>
        <v>3.0617895059932714</v>
      </c>
    </row>
    <row r="335" spans="1:8" x14ac:dyDescent="0.3">
      <c r="A335" s="1">
        <v>42885</v>
      </c>
      <c r="B335">
        <v>2175.469971</v>
      </c>
      <c r="C335" s="2">
        <f t="shared" si="30"/>
        <v>-3.5529250268605872E-2</v>
      </c>
      <c r="D335">
        <f t="shared" si="33"/>
        <v>2165.6340088000002</v>
      </c>
      <c r="E335">
        <f t="shared" si="34"/>
        <v>1</v>
      </c>
      <c r="F335" s="2">
        <f t="shared" si="35"/>
        <v>-3.5529250268605872E-2</v>
      </c>
      <c r="G335" s="2">
        <f t="shared" si="31"/>
        <v>3.2167422303967736</v>
      </c>
      <c r="H335" s="2">
        <f t="shared" si="32"/>
        <v>2.9530064203650452</v>
      </c>
    </row>
    <row r="336" spans="1:8" x14ac:dyDescent="0.3">
      <c r="A336" s="1">
        <v>42886</v>
      </c>
      <c r="B336">
        <v>2286.4099120000001</v>
      </c>
      <c r="C336" s="2">
        <f t="shared" si="30"/>
        <v>5.0995850312290925E-2</v>
      </c>
      <c r="D336">
        <f t="shared" si="33"/>
        <v>2182.4320068000002</v>
      </c>
      <c r="E336">
        <f t="shared" si="34"/>
        <v>1</v>
      </c>
      <c r="F336" s="2">
        <f t="shared" si="35"/>
        <v>5.0995850312290925E-2</v>
      </c>
      <c r="G336" s="2">
        <f t="shared" si="31"/>
        <v>3.3807827356713123</v>
      </c>
      <c r="H336" s="2">
        <f t="shared" si="32"/>
        <v>3.103597493749215</v>
      </c>
    </row>
    <row r="337" spans="1:8" x14ac:dyDescent="0.3">
      <c r="A337" s="1">
        <v>42887</v>
      </c>
      <c r="B337">
        <v>2407.8798830000001</v>
      </c>
      <c r="C337" s="2">
        <f t="shared" si="30"/>
        <v>5.3126943844354679E-2</v>
      </c>
      <c r="D337">
        <f t="shared" si="33"/>
        <v>2256.2339843999998</v>
      </c>
      <c r="E337">
        <f t="shared" si="34"/>
        <v>1</v>
      </c>
      <c r="F337" s="2">
        <f t="shared" si="35"/>
        <v>5.3126943844354679E-2</v>
      </c>
      <c r="G337" s="2">
        <f t="shared" si="31"/>
        <v>3.5603933902192857</v>
      </c>
      <c r="H337" s="2">
        <f t="shared" si="32"/>
        <v>3.2684821435151097</v>
      </c>
    </row>
    <row r="338" spans="1:8" x14ac:dyDescent="0.3">
      <c r="A338" s="1">
        <v>42888</v>
      </c>
      <c r="B338">
        <v>2488.5500489999999</v>
      </c>
      <c r="C338" s="2">
        <f t="shared" si="30"/>
        <v>3.3502570692808931E-2</v>
      </c>
      <c r="D338">
        <f t="shared" si="33"/>
        <v>2322.7839844</v>
      </c>
      <c r="E338">
        <f t="shared" si="34"/>
        <v>1</v>
      </c>
      <c r="F338" s="2">
        <f t="shared" si="35"/>
        <v>3.3502570692808931E-2</v>
      </c>
      <c r="G338" s="2">
        <f t="shared" si="31"/>
        <v>3.6796757214693168</v>
      </c>
      <c r="H338" s="2">
        <f t="shared" si="32"/>
        <v>3.3779846975864083</v>
      </c>
    </row>
    <row r="339" spans="1:8" x14ac:dyDescent="0.3">
      <c r="A339" s="1">
        <v>42889</v>
      </c>
      <c r="B339">
        <v>2515.3500979999999</v>
      </c>
      <c r="C339" s="2">
        <f t="shared" si="30"/>
        <v>1.0769342979768171E-2</v>
      </c>
      <c r="D339">
        <f t="shared" si="33"/>
        <v>2374.7319825999998</v>
      </c>
      <c r="E339">
        <f t="shared" si="34"/>
        <v>1</v>
      </c>
      <c r="F339" s="2">
        <f t="shared" si="35"/>
        <v>1.0769342979768171E-2</v>
      </c>
      <c r="G339" s="2">
        <f t="shared" si="31"/>
        <v>3.7193034113681458</v>
      </c>
      <c r="H339" s="2">
        <f t="shared" si="32"/>
        <v>3.4143633733751249</v>
      </c>
    </row>
    <row r="340" spans="1:8" x14ac:dyDescent="0.3">
      <c r="A340" s="1">
        <v>42890</v>
      </c>
      <c r="B340">
        <v>2511.8100589999999</v>
      </c>
      <c r="C340" s="2">
        <f t="shared" si="30"/>
        <v>-1.4073742668325728E-3</v>
      </c>
      <c r="D340">
        <f t="shared" si="33"/>
        <v>2442.0000002000002</v>
      </c>
      <c r="E340">
        <f t="shared" si="34"/>
        <v>1</v>
      </c>
      <c r="F340" s="2">
        <f t="shared" si="35"/>
        <v>-1.4073742668325728E-3</v>
      </c>
      <c r="G340" s="2">
        <f t="shared" si="31"/>
        <v>3.7140689594564438</v>
      </c>
      <c r="H340" s="2">
        <f t="shared" si="32"/>
        <v>3.4095580862258212</v>
      </c>
    </row>
    <row r="341" spans="1:8" x14ac:dyDescent="0.3">
      <c r="A341" s="1">
        <v>42891</v>
      </c>
      <c r="B341">
        <v>2686.8100589999999</v>
      </c>
      <c r="C341" s="2">
        <f t="shared" si="30"/>
        <v>6.9670873151002066E-2</v>
      </c>
      <c r="D341">
        <f t="shared" si="33"/>
        <v>2522.0800295999998</v>
      </c>
      <c r="E341">
        <f t="shared" si="34"/>
        <v>1</v>
      </c>
      <c r="F341" s="2">
        <f t="shared" si="35"/>
        <v>6.9670873151002066E-2</v>
      </c>
      <c r="G341" s="2">
        <f t="shared" si="31"/>
        <v>3.972831386804808</v>
      </c>
      <c r="H341" s="2">
        <f t="shared" si="32"/>
        <v>3.6471049751522338</v>
      </c>
    </row>
    <row r="342" spans="1:8" x14ac:dyDescent="0.3">
      <c r="A342" s="1">
        <v>42892</v>
      </c>
      <c r="B342">
        <v>2863.1999510000001</v>
      </c>
      <c r="C342" s="2">
        <f t="shared" si="30"/>
        <v>6.5650302078164247E-2</v>
      </c>
      <c r="D342">
        <f t="shared" si="33"/>
        <v>2613.1440431999999</v>
      </c>
      <c r="E342">
        <f t="shared" si="34"/>
        <v>1</v>
      </c>
      <c r="F342" s="2">
        <f t="shared" si="35"/>
        <v>6.5650302078164247E-2</v>
      </c>
      <c r="G342" s="2">
        <f t="shared" si="31"/>
        <v>4.2336489674541555</v>
      </c>
      <c r="H342" s="2">
        <f t="shared" si="32"/>
        <v>3.8865385184817538</v>
      </c>
    </row>
    <row r="343" spans="1:8" x14ac:dyDescent="0.3">
      <c r="A343" s="1">
        <v>42893</v>
      </c>
      <c r="B343">
        <v>2732.1599120000001</v>
      </c>
      <c r="C343" s="2">
        <f t="shared" si="30"/>
        <v>-4.5766988419454591E-2</v>
      </c>
      <c r="D343">
        <f t="shared" si="33"/>
        <v>2661.8660157999998</v>
      </c>
      <c r="E343">
        <f t="shared" si="34"/>
        <v>1</v>
      </c>
      <c r="F343" s="2">
        <f t="shared" si="35"/>
        <v>-4.5766988419454591E-2</v>
      </c>
      <c r="G343" s="2">
        <f t="shared" si="31"/>
        <v>4.0398876041886451</v>
      </c>
      <c r="H343" s="2">
        <f t="shared" si="32"/>
        <v>3.7086633551146351</v>
      </c>
    </row>
    <row r="344" spans="1:8" x14ac:dyDescent="0.3">
      <c r="A344" s="1">
        <v>42894</v>
      </c>
      <c r="B344">
        <v>2805.6201169999999</v>
      </c>
      <c r="C344" s="2">
        <f t="shared" si="30"/>
        <v>2.6887227455960172E-2</v>
      </c>
      <c r="D344">
        <f t="shared" si="33"/>
        <v>2719.9200196000002</v>
      </c>
      <c r="E344">
        <f t="shared" si="34"/>
        <v>1</v>
      </c>
      <c r="F344" s="2">
        <f t="shared" si="35"/>
        <v>2.6887227455960172E-2</v>
      </c>
      <c r="G344" s="2">
        <f t="shared" si="31"/>
        <v>4.1485089810989795</v>
      </c>
      <c r="H344" s="2">
        <f t="shared" si="32"/>
        <v>3.8083790303011869</v>
      </c>
    </row>
    <row r="345" spans="1:8" x14ac:dyDescent="0.3">
      <c r="A345" s="1">
        <v>42895</v>
      </c>
      <c r="B345">
        <v>2823.8100589999999</v>
      </c>
      <c r="C345" s="2">
        <f t="shared" si="30"/>
        <v>6.4833944872944027E-3</v>
      </c>
      <c r="D345">
        <f t="shared" si="33"/>
        <v>2782.3200196000003</v>
      </c>
      <c r="E345">
        <f t="shared" si="34"/>
        <v>1</v>
      </c>
      <c r="F345" s="2">
        <f t="shared" si="35"/>
        <v>6.4833944872944027E-3</v>
      </c>
      <c r="G345" s="2">
        <f t="shared" si="31"/>
        <v>4.1754054013575281</v>
      </c>
      <c r="H345" s="2">
        <f t="shared" si="32"/>
        <v>3.8330702539117691</v>
      </c>
    </row>
    <row r="346" spans="1:8" x14ac:dyDescent="0.3">
      <c r="A346" s="1">
        <v>42896</v>
      </c>
      <c r="B346">
        <v>2947.709961</v>
      </c>
      <c r="C346" s="2">
        <f t="shared" si="30"/>
        <v>4.3876854112445907E-2</v>
      </c>
      <c r="D346">
        <f t="shared" si="33"/>
        <v>2834.5</v>
      </c>
      <c r="E346">
        <f t="shared" si="34"/>
        <v>1</v>
      </c>
      <c r="F346" s="2">
        <f t="shared" si="35"/>
        <v>4.3876854112445907E-2</v>
      </c>
      <c r="G346" s="2">
        <f t="shared" si="31"/>
        <v>4.3586090550132113</v>
      </c>
      <c r="H346" s="2">
        <f t="shared" si="32"/>
        <v>4.0012533182454115</v>
      </c>
    </row>
    <row r="347" spans="1:8" x14ac:dyDescent="0.3">
      <c r="A347" s="1">
        <v>42897</v>
      </c>
      <c r="B347">
        <v>2958.110107</v>
      </c>
      <c r="C347" s="2">
        <f t="shared" si="30"/>
        <v>3.5282121163886515E-3</v>
      </c>
      <c r="D347">
        <f t="shared" si="33"/>
        <v>2853.4820312000002</v>
      </c>
      <c r="E347">
        <f t="shared" si="34"/>
        <v>1</v>
      </c>
      <c r="F347" s="2">
        <f t="shared" si="35"/>
        <v>3.5282121163886515E-3</v>
      </c>
      <c r="G347" s="2">
        <f t="shared" si="31"/>
        <v>4.3739871522917104</v>
      </c>
      <c r="H347" s="2">
        <f t="shared" si="32"/>
        <v>4.0153705886835853</v>
      </c>
    </row>
    <row r="348" spans="1:8" x14ac:dyDescent="0.3">
      <c r="A348" s="1">
        <v>42898</v>
      </c>
      <c r="B348">
        <v>2659.6298830000001</v>
      </c>
      <c r="C348" s="2">
        <f t="shared" si="30"/>
        <v>-0.1009023373719875</v>
      </c>
      <c r="D348">
        <f t="shared" si="33"/>
        <v>2838.9760254000003</v>
      </c>
      <c r="E348">
        <f t="shared" si="34"/>
        <v>0</v>
      </c>
      <c r="F348" s="2">
        <f t="shared" si="35"/>
        <v>-0.1009023373719875</v>
      </c>
      <c r="G348" s="2">
        <f t="shared" si="31"/>
        <v>3.9326416249904335</v>
      </c>
      <c r="H348" s="2">
        <f t="shared" si="32"/>
        <v>3.610210310870678</v>
      </c>
    </row>
    <row r="349" spans="1:8" x14ac:dyDescent="0.3">
      <c r="A349" s="1">
        <v>42899</v>
      </c>
      <c r="B349">
        <v>2717.0200199999999</v>
      </c>
      <c r="C349" s="2">
        <f t="shared" si="30"/>
        <v>2.1578241907578954E-2</v>
      </c>
      <c r="D349">
        <f t="shared" si="33"/>
        <v>2821.2560060000001</v>
      </c>
      <c r="E349">
        <f t="shared" si="34"/>
        <v>0</v>
      </c>
      <c r="F349" s="2">
        <f t="shared" si="35"/>
        <v>0</v>
      </c>
      <c r="G349" s="2">
        <f t="shared" si="31"/>
        <v>4.0175011173102915</v>
      </c>
      <c r="H349" s="2">
        <f t="shared" si="32"/>
        <v>3.610210310870678</v>
      </c>
    </row>
    <row r="350" spans="1:8" x14ac:dyDescent="0.3">
      <c r="A350" s="1">
        <v>42900</v>
      </c>
      <c r="B350">
        <v>2506.3701169999999</v>
      </c>
      <c r="C350" s="2">
        <f t="shared" si="30"/>
        <v>-7.752975739943202E-2</v>
      </c>
      <c r="D350">
        <f t="shared" si="33"/>
        <v>2757.7680176000003</v>
      </c>
      <c r="E350">
        <f t="shared" si="34"/>
        <v>0</v>
      </c>
      <c r="F350" s="2">
        <f t="shared" si="35"/>
        <v>0</v>
      </c>
      <c r="G350" s="2">
        <f t="shared" si="31"/>
        <v>3.7060252303332777</v>
      </c>
      <c r="H350" s="2">
        <f t="shared" si="32"/>
        <v>3.610210310870678</v>
      </c>
    </row>
    <row r="351" spans="1:8" x14ac:dyDescent="0.3">
      <c r="A351" s="1">
        <v>42901</v>
      </c>
      <c r="B351">
        <v>2464.580078</v>
      </c>
      <c r="C351" s="2">
        <f t="shared" si="30"/>
        <v>-1.6673530663548042E-2</v>
      </c>
      <c r="D351">
        <f t="shared" si="33"/>
        <v>2661.1420410000001</v>
      </c>
      <c r="E351">
        <f t="shared" si="34"/>
        <v>0</v>
      </c>
      <c r="F351" s="2">
        <f t="shared" si="35"/>
        <v>0</v>
      </c>
      <c r="G351" s="2">
        <f t="shared" si="31"/>
        <v>3.6442327050154333</v>
      </c>
      <c r="H351" s="2">
        <f t="shared" si="32"/>
        <v>3.610210310870678</v>
      </c>
    </row>
    <row r="352" spans="1:8" x14ac:dyDescent="0.3">
      <c r="A352" s="1">
        <v>42902</v>
      </c>
      <c r="B352">
        <v>2518.5600589999999</v>
      </c>
      <c r="C352" s="2">
        <f t="shared" si="30"/>
        <v>2.190230355339251E-2</v>
      </c>
      <c r="D352">
        <f t="shared" si="33"/>
        <v>2573.2320313999999</v>
      </c>
      <c r="E352">
        <f t="shared" si="34"/>
        <v>0</v>
      </c>
      <c r="F352" s="2">
        <f t="shared" si="35"/>
        <v>0</v>
      </c>
      <c r="G352" s="2">
        <f t="shared" si="31"/>
        <v>3.7240497959398819</v>
      </c>
      <c r="H352" s="2">
        <f t="shared" si="32"/>
        <v>3.610210310870678</v>
      </c>
    </row>
    <row r="353" spans="1:8" x14ac:dyDescent="0.3">
      <c r="A353" s="1">
        <v>42903</v>
      </c>
      <c r="B353">
        <v>2655.8798830000001</v>
      </c>
      <c r="C353" s="2">
        <f t="shared" si="30"/>
        <v>5.452314845909334E-2</v>
      </c>
      <c r="D353">
        <f t="shared" si="33"/>
        <v>2572.4820313999999</v>
      </c>
      <c r="E353">
        <f t="shared" si="34"/>
        <v>1</v>
      </c>
      <c r="F353" s="2">
        <f t="shared" si="35"/>
        <v>0</v>
      </c>
      <c r="G353" s="2">
        <f t="shared" si="31"/>
        <v>3.9270967158329686</v>
      </c>
      <c r="H353" s="2">
        <f t="shared" si="32"/>
        <v>3.610210310870678</v>
      </c>
    </row>
    <row r="354" spans="1:8" x14ac:dyDescent="0.3">
      <c r="A354" s="1">
        <v>42904</v>
      </c>
      <c r="B354">
        <v>2548.290039</v>
      </c>
      <c r="C354" s="2">
        <f t="shared" si="30"/>
        <v>-4.0510056455742238E-2</v>
      </c>
      <c r="D354">
        <f t="shared" si="33"/>
        <v>2538.7360351999996</v>
      </c>
      <c r="E354">
        <f t="shared" si="34"/>
        <v>1</v>
      </c>
      <c r="F354" s="2">
        <f t="shared" si="35"/>
        <v>-4.0510056455742238E-2</v>
      </c>
      <c r="G354" s="2">
        <f t="shared" si="31"/>
        <v>3.7680098061674152</v>
      </c>
      <c r="H354" s="2">
        <f t="shared" si="32"/>
        <v>3.4639604873602039</v>
      </c>
    </row>
    <row r="355" spans="1:8" x14ac:dyDescent="0.3">
      <c r="A355" s="1">
        <v>42905</v>
      </c>
      <c r="B355">
        <v>2589.6000979999999</v>
      </c>
      <c r="C355" s="2">
        <f t="shared" si="30"/>
        <v>1.6210893723938469E-2</v>
      </c>
      <c r="D355">
        <f t="shared" si="33"/>
        <v>2555.3820313999995</v>
      </c>
      <c r="E355">
        <f t="shared" si="34"/>
        <v>1</v>
      </c>
      <c r="F355" s="2">
        <f t="shared" si="35"/>
        <v>1.6210893723938469E-2</v>
      </c>
      <c r="G355" s="2">
        <f t="shared" si="31"/>
        <v>3.8290926126859532</v>
      </c>
      <c r="H355" s="2">
        <f t="shared" si="32"/>
        <v>3.5201143826847221</v>
      </c>
    </row>
    <row r="356" spans="1:8" x14ac:dyDescent="0.3">
      <c r="A356" s="1">
        <v>42906</v>
      </c>
      <c r="B356">
        <v>2721.790039</v>
      </c>
      <c r="C356" s="2">
        <f t="shared" si="30"/>
        <v>5.1046468951747803E-2</v>
      </c>
      <c r="D356">
        <f t="shared" si="33"/>
        <v>2606.8240235999997</v>
      </c>
      <c r="E356">
        <f t="shared" si="34"/>
        <v>1</v>
      </c>
      <c r="F356" s="2">
        <f t="shared" si="35"/>
        <v>5.1046468951747803E-2</v>
      </c>
      <c r="G356" s="2">
        <f t="shared" si="31"/>
        <v>4.0245542698527936</v>
      </c>
      <c r="H356" s="2">
        <f t="shared" si="32"/>
        <v>3.6998037922270388</v>
      </c>
    </row>
    <row r="357" spans="1:8" x14ac:dyDescent="0.3">
      <c r="A357" s="1">
        <v>42907</v>
      </c>
      <c r="B357">
        <v>2689.1000979999999</v>
      </c>
      <c r="C357" s="2">
        <f t="shared" si="30"/>
        <v>-1.2010456549400361E-2</v>
      </c>
      <c r="D357">
        <f t="shared" si="33"/>
        <v>2640.9320313999997</v>
      </c>
      <c r="E357">
        <f t="shared" si="34"/>
        <v>1</v>
      </c>
      <c r="F357" s="2">
        <f t="shared" si="35"/>
        <v>-1.2010456549400361E-2</v>
      </c>
      <c r="G357" s="2">
        <f t="shared" si="31"/>
        <v>3.976217535664023</v>
      </c>
      <c r="H357" s="2">
        <f t="shared" si="32"/>
        <v>3.6553674595391894</v>
      </c>
    </row>
    <row r="358" spans="1:8" x14ac:dyDescent="0.3">
      <c r="A358" s="1">
        <v>42908</v>
      </c>
      <c r="B358">
        <v>2705.4099120000001</v>
      </c>
      <c r="C358" s="2">
        <f t="shared" si="30"/>
        <v>6.0651568947287515E-3</v>
      </c>
      <c r="D358">
        <f t="shared" si="33"/>
        <v>2650.8380372000001</v>
      </c>
      <c r="E358">
        <f t="shared" si="34"/>
        <v>1</v>
      </c>
      <c r="F358" s="2">
        <f t="shared" si="35"/>
        <v>6.0651568947287515E-3</v>
      </c>
      <c r="G358" s="2">
        <f t="shared" si="31"/>
        <v>4.0003339188653975</v>
      </c>
      <c r="H358" s="2">
        <f t="shared" si="32"/>
        <v>3.6775378366891807</v>
      </c>
    </row>
    <row r="359" spans="1:8" x14ac:dyDescent="0.3">
      <c r="A359" s="1">
        <v>42909</v>
      </c>
      <c r="B359">
        <v>2744.9099120000001</v>
      </c>
      <c r="C359" s="2">
        <f t="shared" si="30"/>
        <v>1.4600375279470779E-2</v>
      </c>
      <c r="D359">
        <f t="shared" si="33"/>
        <v>2690.1620118000001</v>
      </c>
      <c r="E359">
        <f t="shared" si="34"/>
        <v>1</v>
      </c>
      <c r="F359" s="2">
        <f t="shared" si="35"/>
        <v>1.4600375279470779E-2</v>
      </c>
      <c r="G359" s="2">
        <f t="shared" si="31"/>
        <v>4.0587402953240286</v>
      </c>
      <c r="H359" s="2">
        <f t="shared" si="32"/>
        <v>3.7312312692092959</v>
      </c>
    </row>
    <row r="360" spans="1:8" x14ac:dyDescent="0.3">
      <c r="A360" s="1">
        <v>42910</v>
      </c>
      <c r="B360">
        <v>2608.719971</v>
      </c>
      <c r="C360" s="2">
        <f t="shared" si="30"/>
        <v>-4.9615450184581578E-2</v>
      </c>
      <c r="D360">
        <f t="shared" si="33"/>
        <v>2693.9859864</v>
      </c>
      <c r="E360">
        <f t="shared" si="34"/>
        <v>0</v>
      </c>
      <c r="F360" s="2">
        <f t="shared" si="35"/>
        <v>-4.9615450184581578E-2</v>
      </c>
      <c r="G360" s="2">
        <f t="shared" si="31"/>
        <v>3.8573640683892254</v>
      </c>
      <c r="H360" s="2">
        <f t="shared" si="32"/>
        <v>3.5461045500446891</v>
      </c>
    </row>
    <row r="361" spans="1:8" x14ac:dyDescent="0.3">
      <c r="A361" s="1">
        <v>42911</v>
      </c>
      <c r="B361">
        <v>2589.4099120000001</v>
      </c>
      <c r="C361" s="2">
        <f t="shared" si="30"/>
        <v>-7.4021202791643148E-3</v>
      </c>
      <c r="D361">
        <f t="shared" si="33"/>
        <v>2667.5099609999997</v>
      </c>
      <c r="E361">
        <f t="shared" si="34"/>
        <v>0</v>
      </c>
      <c r="F361" s="2">
        <f t="shared" si="35"/>
        <v>0</v>
      </c>
      <c r="G361" s="2">
        <f t="shared" si="31"/>
        <v>3.8288113955944816</v>
      </c>
      <c r="H361" s="2">
        <f t="shared" si="32"/>
        <v>3.5461045500446891</v>
      </c>
    </row>
    <row r="362" spans="1:8" x14ac:dyDescent="0.3">
      <c r="A362" s="1">
        <v>42912</v>
      </c>
      <c r="B362">
        <v>2478.4499510000001</v>
      </c>
      <c r="C362" s="2">
        <f t="shared" si="30"/>
        <v>-4.2851446766223655E-2</v>
      </c>
      <c r="D362">
        <f t="shared" si="33"/>
        <v>2625.3799316</v>
      </c>
      <c r="E362">
        <f t="shared" si="34"/>
        <v>0</v>
      </c>
      <c r="F362" s="2">
        <f t="shared" si="35"/>
        <v>0</v>
      </c>
      <c r="G362" s="2">
        <f t="shared" si="31"/>
        <v>3.6647412878982544</v>
      </c>
      <c r="H362" s="2">
        <f t="shared" si="32"/>
        <v>3.5461045500446891</v>
      </c>
    </row>
    <row r="363" spans="1:8" x14ac:dyDescent="0.3">
      <c r="A363" s="1">
        <v>42913</v>
      </c>
      <c r="B363">
        <v>2552.4499510000001</v>
      </c>
      <c r="C363" s="2">
        <f t="shared" si="30"/>
        <v>2.9857371124295984E-2</v>
      </c>
      <c r="D363">
        <f t="shared" si="33"/>
        <v>2594.7879394000001</v>
      </c>
      <c r="E363">
        <f t="shared" si="34"/>
        <v>0</v>
      </c>
      <c r="F363" s="2">
        <f t="shared" si="35"/>
        <v>0</v>
      </c>
      <c r="G363" s="2">
        <f t="shared" si="31"/>
        <v>3.774160828605563</v>
      </c>
      <c r="H363" s="2">
        <f t="shared" si="32"/>
        <v>3.5461045500446891</v>
      </c>
    </row>
    <row r="364" spans="1:8" x14ac:dyDescent="0.3">
      <c r="A364" s="1">
        <v>42914</v>
      </c>
      <c r="B364">
        <v>2574.790039</v>
      </c>
      <c r="C364" s="2">
        <f t="shared" si="30"/>
        <v>8.7524098136566586E-3</v>
      </c>
      <c r="D364">
        <f t="shared" si="33"/>
        <v>2560.7639647999999</v>
      </c>
      <c r="E364">
        <f t="shared" si="34"/>
        <v>1</v>
      </c>
      <c r="F364" s="2">
        <f t="shared" si="35"/>
        <v>0</v>
      </c>
      <c r="G364" s="2">
        <f t="shared" si="31"/>
        <v>3.8071938308801689</v>
      </c>
      <c r="H364" s="2">
        <f t="shared" si="32"/>
        <v>3.5461045500446891</v>
      </c>
    </row>
    <row r="365" spans="1:8" x14ac:dyDescent="0.3">
      <c r="A365" s="1">
        <v>42915</v>
      </c>
      <c r="B365">
        <v>2539.320068</v>
      </c>
      <c r="C365" s="2">
        <f t="shared" si="30"/>
        <v>-1.3775869279724184E-2</v>
      </c>
      <c r="D365">
        <f t="shared" si="33"/>
        <v>2546.8839842000002</v>
      </c>
      <c r="E365">
        <f t="shared" si="34"/>
        <v>0</v>
      </c>
      <c r="F365" s="2">
        <f t="shared" si="35"/>
        <v>-1.3775869279724184E-2</v>
      </c>
      <c r="G365" s="2">
        <f t="shared" si="31"/>
        <v>3.7547464263433912</v>
      </c>
      <c r="H365" s="2">
        <f t="shared" si="32"/>
        <v>3.4972538773110382</v>
      </c>
    </row>
    <row r="366" spans="1:8" x14ac:dyDescent="0.3">
      <c r="A366" s="1">
        <v>42916</v>
      </c>
      <c r="B366">
        <v>2480.8400879999999</v>
      </c>
      <c r="C366" s="2">
        <f t="shared" si="30"/>
        <v>-2.302977900933123E-2</v>
      </c>
      <c r="D366">
        <f t="shared" si="33"/>
        <v>2525.1700194000005</v>
      </c>
      <c r="E366">
        <f t="shared" si="34"/>
        <v>0</v>
      </c>
      <c r="F366" s="2">
        <f t="shared" si="35"/>
        <v>0</v>
      </c>
      <c r="G366" s="2">
        <f t="shared" si="31"/>
        <v>3.6682754459086269</v>
      </c>
      <c r="H366" s="2">
        <f t="shared" si="32"/>
        <v>3.4972538773110382</v>
      </c>
    </row>
    <row r="367" spans="1:8" x14ac:dyDescent="0.3">
      <c r="A367" s="1">
        <v>42917</v>
      </c>
      <c r="B367">
        <v>2434.5500489999999</v>
      </c>
      <c r="C367" s="2">
        <f t="shared" si="30"/>
        <v>-1.8659017654506727E-2</v>
      </c>
      <c r="D367">
        <f t="shared" si="33"/>
        <v>2516.3900389999999</v>
      </c>
      <c r="E367">
        <f t="shared" si="34"/>
        <v>0</v>
      </c>
      <c r="F367" s="2">
        <f t="shared" si="35"/>
        <v>0</v>
      </c>
      <c r="G367" s="2">
        <f t="shared" si="31"/>
        <v>3.5998290296018243</v>
      </c>
      <c r="H367" s="2">
        <f t="shared" si="32"/>
        <v>3.4972538773110382</v>
      </c>
    </row>
    <row r="368" spans="1:8" x14ac:dyDescent="0.3">
      <c r="A368" s="1">
        <v>42918</v>
      </c>
      <c r="B368">
        <v>2506.469971</v>
      </c>
      <c r="C368" s="2">
        <f t="shared" si="30"/>
        <v>2.9541361053366577E-2</v>
      </c>
      <c r="D368">
        <f t="shared" si="33"/>
        <v>2507.1940430000004</v>
      </c>
      <c r="E368">
        <f t="shared" si="34"/>
        <v>0</v>
      </c>
      <c r="F368" s="2">
        <f t="shared" si="35"/>
        <v>0</v>
      </c>
      <c r="G368" s="2">
        <f t="shared" si="31"/>
        <v>3.706172878695682</v>
      </c>
      <c r="H368" s="2">
        <f t="shared" si="32"/>
        <v>3.4972538773110382</v>
      </c>
    </row>
    <row r="369" spans="1:8" x14ac:dyDescent="0.3">
      <c r="A369" s="1">
        <v>42919</v>
      </c>
      <c r="B369">
        <v>2564.0600589999999</v>
      </c>
      <c r="C369" s="2">
        <f t="shared" si="30"/>
        <v>2.2976572097938686E-2</v>
      </c>
      <c r="D369">
        <f t="shared" si="33"/>
        <v>2505.0480469999998</v>
      </c>
      <c r="E369">
        <f t="shared" si="34"/>
        <v>1</v>
      </c>
      <c r="F369" s="2">
        <f t="shared" si="35"/>
        <v>0</v>
      </c>
      <c r="G369" s="2">
        <f t="shared" si="31"/>
        <v>3.7913280270504583</v>
      </c>
      <c r="H369" s="2">
        <f t="shared" si="32"/>
        <v>3.4972538773110382</v>
      </c>
    </row>
    <row r="370" spans="1:8" x14ac:dyDescent="0.3">
      <c r="A370" s="1">
        <v>42920</v>
      </c>
      <c r="B370">
        <v>2601.639893</v>
      </c>
      <c r="C370" s="2">
        <f t="shared" si="30"/>
        <v>1.4656378218635302E-2</v>
      </c>
      <c r="D370">
        <f t="shared" si="33"/>
        <v>2517.5120120000001</v>
      </c>
      <c r="E370">
        <f t="shared" si="34"/>
        <v>1</v>
      </c>
      <c r="F370" s="2">
        <f t="shared" si="35"/>
        <v>1.4656378218635302E-2</v>
      </c>
      <c r="G370" s="2">
        <f t="shared" si="31"/>
        <v>3.8468951645658223</v>
      </c>
      <c r="H370" s="2">
        <f t="shared" si="32"/>
        <v>3.5485109528634977</v>
      </c>
    </row>
    <row r="371" spans="1:8" x14ac:dyDescent="0.3">
      <c r="A371" s="1">
        <v>42921</v>
      </c>
      <c r="B371">
        <v>2601.98999</v>
      </c>
      <c r="C371" s="2">
        <f t="shared" si="30"/>
        <v>1.3456781660758921E-4</v>
      </c>
      <c r="D371">
        <f t="shared" si="33"/>
        <v>2541.7419923999996</v>
      </c>
      <c r="E371">
        <f t="shared" si="34"/>
        <v>1</v>
      </c>
      <c r="F371" s="2">
        <f t="shared" si="35"/>
        <v>1.3456781660758921E-4</v>
      </c>
      <c r="G371" s="2">
        <f t="shared" si="31"/>
        <v>3.847412832848836</v>
      </c>
      <c r="H371" s="2">
        <f t="shared" si="32"/>
        <v>3.5489884682346329</v>
      </c>
    </row>
    <row r="372" spans="1:8" x14ac:dyDescent="0.3">
      <c r="A372" s="1">
        <v>42922</v>
      </c>
      <c r="B372">
        <v>2608.5600589999999</v>
      </c>
      <c r="C372" s="2">
        <f t="shared" si="30"/>
        <v>2.5250170159185625E-3</v>
      </c>
      <c r="D372">
        <f t="shared" si="33"/>
        <v>2576.5439944</v>
      </c>
      <c r="E372">
        <f t="shared" si="34"/>
        <v>1</v>
      </c>
      <c r="F372" s="2">
        <f t="shared" si="35"/>
        <v>2.5250170159185625E-3</v>
      </c>
      <c r="G372" s="2">
        <f t="shared" si="31"/>
        <v>3.8571276157190426</v>
      </c>
      <c r="H372" s="2">
        <f t="shared" si="32"/>
        <v>3.5579497245062242</v>
      </c>
    </row>
    <row r="373" spans="1:8" x14ac:dyDescent="0.3">
      <c r="A373" s="1">
        <v>42923</v>
      </c>
      <c r="B373">
        <v>2518.6599120000001</v>
      </c>
      <c r="C373" s="2">
        <f t="shared" si="30"/>
        <v>-3.446351433996242E-2</v>
      </c>
      <c r="D373">
        <f t="shared" si="33"/>
        <v>2578.9819825999998</v>
      </c>
      <c r="E373">
        <f t="shared" si="34"/>
        <v>0</v>
      </c>
      <c r="F373" s="2">
        <f t="shared" si="35"/>
        <v>-3.446351433996242E-2</v>
      </c>
      <c r="G373" s="2">
        <f t="shared" si="31"/>
        <v>3.7241974428236442</v>
      </c>
      <c r="H373" s="2">
        <f t="shared" si="32"/>
        <v>3.4353302731548387</v>
      </c>
    </row>
    <row r="374" spans="1:8" x14ac:dyDescent="0.3">
      <c r="A374" s="1">
        <v>42924</v>
      </c>
      <c r="B374">
        <v>2571.3400879999999</v>
      </c>
      <c r="C374" s="2">
        <f t="shared" si="30"/>
        <v>2.0915954452210173E-2</v>
      </c>
      <c r="D374">
        <f t="shared" si="33"/>
        <v>2580.4379884</v>
      </c>
      <c r="E374">
        <f t="shared" si="34"/>
        <v>0</v>
      </c>
      <c r="F374" s="2">
        <f t="shared" si="35"/>
        <v>0</v>
      </c>
      <c r="G374" s="2">
        <f t="shared" si="31"/>
        <v>3.8020925869087812</v>
      </c>
      <c r="H374" s="2">
        <f t="shared" si="32"/>
        <v>3.4353302731548387</v>
      </c>
    </row>
    <row r="375" spans="1:8" x14ac:dyDescent="0.3">
      <c r="A375" s="1">
        <v>42925</v>
      </c>
      <c r="B375">
        <v>2518.4399410000001</v>
      </c>
      <c r="C375" s="2">
        <f t="shared" si="30"/>
        <v>-2.0572987309953938E-2</v>
      </c>
      <c r="D375">
        <f t="shared" si="33"/>
        <v>2563.797998</v>
      </c>
      <c r="E375">
        <f t="shared" si="34"/>
        <v>0</v>
      </c>
      <c r="F375" s="2">
        <f t="shared" si="35"/>
        <v>0</v>
      </c>
      <c r="G375" s="2">
        <f t="shared" si="31"/>
        <v>3.7238721843670368</v>
      </c>
      <c r="H375" s="2">
        <f t="shared" si="32"/>
        <v>3.4353302731548387</v>
      </c>
    </row>
    <row r="376" spans="1:8" x14ac:dyDescent="0.3">
      <c r="A376" s="1">
        <v>42926</v>
      </c>
      <c r="B376">
        <v>2372.5600589999999</v>
      </c>
      <c r="C376" s="2">
        <f t="shared" si="30"/>
        <v>-5.7924701568255577E-2</v>
      </c>
      <c r="D376">
        <f t="shared" si="33"/>
        <v>2517.9120118000001</v>
      </c>
      <c r="E376">
        <f t="shared" si="34"/>
        <v>0</v>
      </c>
      <c r="F376" s="2">
        <f t="shared" si="35"/>
        <v>0</v>
      </c>
      <c r="G376" s="2">
        <f t="shared" si="31"/>
        <v>3.5081679994092481</v>
      </c>
      <c r="H376" s="2">
        <f t="shared" si="32"/>
        <v>3.4353302731548387</v>
      </c>
    </row>
    <row r="377" spans="1:8" x14ac:dyDescent="0.3">
      <c r="A377" s="1">
        <v>42927</v>
      </c>
      <c r="B377">
        <v>2337.790039</v>
      </c>
      <c r="C377" s="2">
        <f t="shared" si="30"/>
        <v>-1.4655064207164892E-2</v>
      </c>
      <c r="D377">
        <f t="shared" si="33"/>
        <v>2463.7580078000001</v>
      </c>
      <c r="E377">
        <f t="shared" si="34"/>
        <v>0</v>
      </c>
      <c r="F377" s="2">
        <f t="shared" si="35"/>
        <v>0</v>
      </c>
      <c r="G377" s="2">
        <f t="shared" si="31"/>
        <v>3.4567555721283845</v>
      </c>
      <c r="H377" s="2">
        <f t="shared" si="32"/>
        <v>3.4353302731548387</v>
      </c>
    </row>
    <row r="378" spans="1:8" x14ac:dyDescent="0.3">
      <c r="A378" s="1">
        <v>42928</v>
      </c>
      <c r="B378">
        <v>2398.8400879999999</v>
      </c>
      <c r="C378" s="2">
        <f t="shared" si="30"/>
        <v>2.6114427720854927E-2</v>
      </c>
      <c r="D378">
        <f t="shared" si="33"/>
        <v>2439.7940429999994</v>
      </c>
      <c r="E378">
        <f t="shared" si="34"/>
        <v>0</v>
      </c>
      <c r="F378" s="2">
        <f t="shared" si="35"/>
        <v>0</v>
      </c>
      <c r="G378" s="2">
        <f t="shared" si="31"/>
        <v>3.5470267656653935</v>
      </c>
      <c r="H378" s="2">
        <f t="shared" si="32"/>
        <v>3.4353302731548387</v>
      </c>
    </row>
    <row r="379" spans="1:8" x14ac:dyDescent="0.3">
      <c r="A379" s="1">
        <v>42929</v>
      </c>
      <c r="B379">
        <v>2357.8999020000001</v>
      </c>
      <c r="C379" s="2">
        <f t="shared" si="30"/>
        <v>-1.7066659092783931E-2</v>
      </c>
      <c r="D379">
        <f t="shared" si="33"/>
        <v>2397.1060058000003</v>
      </c>
      <c r="E379">
        <f t="shared" si="34"/>
        <v>0</v>
      </c>
      <c r="F379" s="2">
        <f t="shared" si="35"/>
        <v>0</v>
      </c>
      <c r="G379" s="2">
        <f t="shared" si="31"/>
        <v>3.4864908690628025</v>
      </c>
      <c r="H379" s="2">
        <f t="shared" si="32"/>
        <v>3.4353302731548387</v>
      </c>
    </row>
    <row r="380" spans="1:8" x14ac:dyDescent="0.3">
      <c r="A380" s="1">
        <v>42930</v>
      </c>
      <c r="B380">
        <v>2233.3400879999999</v>
      </c>
      <c r="C380" s="2">
        <f t="shared" si="30"/>
        <v>-5.2826591109464416E-2</v>
      </c>
      <c r="D380">
        <f t="shared" si="33"/>
        <v>2340.0860352000004</v>
      </c>
      <c r="E380">
        <f t="shared" si="34"/>
        <v>0</v>
      </c>
      <c r="F380" s="2">
        <f t="shared" si="35"/>
        <v>0</v>
      </c>
      <c r="G380" s="2">
        <f t="shared" si="31"/>
        <v>3.3023114415159407</v>
      </c>
      <c r="H380" s="2">
        <f t="shared" si="32"/>
        <v>3.4353302731548387</v>
      </c>
    </row>
    <row r="381" spans="1:8" x14ac:dyDescent="0.3">
      <c r="A381" s="1">
        <v>42931</v>
      </c>
      <c r="B381">
        <v>1998.8599850000001</v>
      </c>
      <c r="C381" s="2">
        <f t="shared" si="30"/>
        <v>-0.10499077335327889</v>
      </c>
      <c r="D381">
        <f t="shared" si="33"/>
        <v>2265.3460204000003</v>
      </c>
      <c r="E381">
        <f t="shared" si="34"/>
        <v>0</v>
      </c>
      <c r="F381" s="2">
        <f t="shared" si="35"/>
        <v>0</v>
      </c>
      <c r="G381" s="2">
        <f t="shared" si="31"/>
        <v>2.9555992094178007</v>
      </c>
      <c r="H381" s="2">
        <f t="shared" si="32"/>
        <v>3.4353302731548387</v>
      </c>
    </row>
    <row r="382" spans="1:8" x14ac:dyDescent="0.3">
      <c r="A382" s="1">
        <v>42932</v>
      </c>
      <c r="B382">
        <v>1929.8199460000001</v>
      </c>
      <c r="C382" s="2">
        <f t="shared" si="30"/>
        <v>-3.4539707392261421E-2</v>
      </c>
      <c r="D382">
        <f t="shared" si="33"/>
        <v>2183.7520018</v>
      </c>
      <c r="E382">
        <f t="shared" si="34"/>
        <v>0</v>
      </c>
      <c r="F382" s="2">
        <f t="shared" si="35"/>
        <v>0</v>
      </c>
      <c r="G382" s="2">
        <f t="shared" si="31"/>
        <v>2.8535136775557106</v>
      </c>
      <c r="H382" s="2">
        <f t="shared" si="32"/>
        <v>3.4353302731548387</v>
      </c>
    </row>
    <row r="383" spans="1:8" x14ac:dyDescent="0.3">
      <c r="A383" s="1">
        <v>42933</v>
      </c>
      <c r="B383">
        <v>2228.4099120000001</v>
      </c>
      <c r="C383" s="2">
        <f t="shared" si="30"/>
        <v>0.15472426151408425</v>
      </c>
      <c r="D383">
        <f t="shared" si="33"/>
        <v>2149.6659666</v>
      </c>
      <c r="E383">
        <f t="shared" si="34"/>
        <v>1</v>
      </c>
      <c r="F383" s="2">
        <f t="shared" si="35"/>
        <v>0</v>
      </c>
      <c r="G383" s="2">
        <f t="shared" si="31"/>
        <v>3.2950214740358565</v>
      </c>
      <c r="H383" s="2">
        <f t="shared" si="32"/>
        <v>3.4353302731548387</v>
      </c>
    </row>
    <row r="384" spans="1:8" x14ac:dyDescent="0.3">
      <c r="A384" s="1">
        <v>42934</v>
      </c>
      <c r="B384">
        <v>2318.8798830000001</v>
      </c>
      <c r="C384" s="2">
        <f t="shared" si="30"/>
        <v>4.0598442195405093E-2</v>
      </c>
      <c r="D384">
        <f t="shared" si="33"/>
        <v>2141.8619627999997</v>
      </c>
      <c r="E384">
        <f t="shared" si="34"/>
        <v>1</v>
      </c>
      <c r="F384" s="2">
        <f t="shared" si="35"/>
        <v>4.0598442195405093E-2</v>
      </c>
      <c r="G384" s="2">
        <f t="shared" si="31"/>
        <v>3.4287942128821198</v>
      </c>
      <c r="H384" s="2">
        <f t="shared" si="32"/>
        <v>3.5747993306716408</v>
      </c>
    </row>
    <row r="385" spans="1:8" x14ac:dyDescent="0.3">
      <c r="A385" s="1">
        <v>42935</v>
      </c>
      <c r="B385">
        <v>2273.429932</v>
      </c>
      <c r="C385" s="2">
        <f t="shared" si="30"/>
        <v>-1.959995915838475E-2</v>
      </c>
      <c r="D385">
        <f t="shared" si="33"/>
        <v>2149.8799315999995</v>
      </c>
      <c r="E385">
        <f t="shared" si="34"/>
        <v>1</v>
      </c>
      <c r="F385" s="2">
        <f t="shared" si="35"/>
        <v>-1.959995915838475E-2</v>
      </c>
      <c r="G385" s="2">
        <f t="shared" si="31"/>
        <v>3.3615899863471244</v>
      </c>
      <c r="H385" s="2">
        <f t="shared" si="32"/>
        <v>3.5047334097910556</v>
      </c>
    </row>
    <row r="386" spans="1:8" x14ac:dyDescent="0.3">
      <c r="A386" s="1">
        <v>42936</v>
      </c>
      <c r="B386">
        <v>2817.6000979999999</v>
      </c>
      <c r="C386" s="2">
        <f t="shared" si="30"/>
        <v>0.23936086982072857</v>
      </c>
      <c r="D386">
        <f t="shared" si="33"/>
        <v>2313.6279541999997</v>
      </c>
      <c r="E386">
        <f t="shared" si="34"/>
        <v>1</v>
      </c>
      <c r="F386" s="2">
        <f t="shared" si="35"/>
        <v>0.23936086982072857</v>
      </c>
      <c r="G386" s="2">
        <f t="shared" si="31"/>
        <v>4.1662230894598231</v>
      </c>
      <c r="H386" s="2">
        <f t="shared" si="32"/>
        <v>4.3436294472484107</v>
      </c>
    </row>
    <row r="387" spans="1:8" x14ac:dyDescent="0.3">
      <c r="A387" s="1">
        <v>42937</v>
      </c>
      <c r="B387">
        <v>2667.76001</v>
      </c>
      <c r="C387" s="2">
        <f t="shared" si="30"/>
        <v>-5.3180040739762902E-2</v>
      </c>
      <c r="D387">
        <f t="shared" si="33"/>
        <v>2461.2159670000001</v>
      </c>
      <c r="E387">
        <f t="shared" si="34"/>
        <v>1</v>
      </c>
      <c r="F387" s="2">
        <f t="shared" si="35"/>
        <v>-5.3180040739762902E-2</v>
      </c>
      <c r="G387" s="2">
        <f t="shared" si="31"/>
        <v>3.9446631758314088</v>
      </c>
      <c r="H387" s="2">
        <f t="shared" si="32"/>
        <v>4.1126350562853062</v>
      </c>
    </row>
    <row r="388" spans="1:8" x14ac:dyDescent="0.3">
      <c r="A388" s="1">
        <v>42938</v>
      </c>
      <c r="B388">
        <v>2810.1201169999999</v>
      </c>
      <c r="C388" s="2">
        <f t="shared" ref="C388:C451" si="36">B388/B387-1</f>
        <v>5.3363161028866291E-2</v>
      </c>
      <c r="D388">
        <f t="shared" si="33"/>
        <v>2577.5580080000004</v>
      </c>
      <c r="E388">
        <f t="shared" si="34"/>
        <v>1</v>
      </c>
      <c r="F388" s="2">
        <f t="shared" si="35"/>
        <v>5.3363161028866291E-2</v>
      </c>
      <c r="G388" s="2">
        <f t="shared" ref="G388:G451" si="37">(1+C388)*G387</f>
        <v>4.1551628720879394</v>
      </c>
      <c r="H388" s="2">
        <f t="shared" ref="H388:H451" si="38">(1+F388)*H387</f>
        <v>4.3320982630468192</v>
      </c>
    </row>
    <row r="389" spans="1:8" x14ac:dyDescent="0.3">
      <c r="A389" s="1">
        <v>42939</v>
      </c>
      <c r="B389">
        <v>2730.3999020000001</v>
      </c>
      <c r="C389" s="2">
        <f t="shared" si="36"/>
        <v>-2.8368970606532873E-2</v>
      </c>
      <c r="D389">
        <f t="shared" si="33"/>
        <v>2659.8620117999999</v>
      </c>
      <c r="E389">
        <f t="shared" si="34"/>
        <v>1</v>
      </c>
      <c r="F389" s="2">
        <f t="shared" si="35"/>
        <v>-2.8368970606532873E-2</v>
      </c>
      <c r="G389" s="2">
        <f t="shared" si="37"/>
        <v>4.0372851787043196</v>
      </c>
      <c r="H389" s="2">
        <f t="shared" si="38"/>
        <v>4.209201094757832</v>
      </c>
    </row>
    <row r="390" spans="1:8" x14ac:dyDescent="0.3">
      <c r="A390" s="1">
        <v>42940</v>
      </c>
      <c r="B390">
        <v>2754.860107</v>
      </c>
      <c r="C390" s="2">
        <f t="shared" si="36"/>
        <v>8.9584697765638932E-3</v>
      </c>
      <c r="D390">
        <f t="shared" si="33"/>
        <v>2756.1480468</v>
      </c>
      <c r="E390">
        <f t="shared" si="34"/>
        <v>0</v>
      </c>
      <c r="F390" s="2">
        <f t="shared" si="35"/>
        <v>8.9584697765638932E-3</v>
      </c>
      <c r="G390" s="2">
        <f t="shared" si="37"/>
        <v>4.0734530759571115</v>
      </c>
      <c r="H390" s="2">
        <f t="shared" si="38"/>
        <v>4.2469090955487001</v>
      </c>
    </row>
    <row r="391" spans="1:8" x14ac:dyDescent="0.3">
      <c r="A391" s="1">
        <v>42941</v>
      </c>
      <c r="B391">
        <v>2576.4799800000001</v>
      </c>
      <c r="C391" s="2">
        <f t="shared" si="36"/>
        <v>-6.4751065415896258E-2</v>
      </c>
      <c r="D391">
        <f t="shared" ref="D391:D454" si="39">AVERAGE(B387:B391)</f>
        <v>2707.9240232000002</v>
      </c>
      <c r="E391">
        <f t="shared" ref="E391:E454" si="40">IF(B391&gt;D391,1,0)</f>
        <v>0</v>
      </c>
      <c r="F391" s="2">
        <f t="shared" si="35"/>
        <v>0</v>
      </c>
      <c r="G391" s="2">
        <f t="shared" si="37"/>
        <v>3.8096926493672285</v>
      </c>
      <c r="H391" s="2">
        <f t="shared" si="38"/>
        <v>4.2469090955487001</v>
      </c>
    </row>
    <row r="392" spans="1:8" x14ac:dyDescent="0.3">
      <c r="A392" s="1">
        <v>42942</v>
      </c>
      <c r="B392">
        <v>2529.4499510000001</v>
      </c>
      <c r="C392" s="2">
        <f t="shared" si="36"/>
        <v>-1.8253597685629952E-2</v>
      </c>
      <c r="D392">
        <f t="shared" si="39"/>
        <v>2680.2620114000001</v>
      </c>
      <c r="E392">
        <f t="shared" si="40"/>
        <v>0</v>
      </c>
      <c r="F392" s="2">
        <f t="shared" ref="F392:F455" si="41">E391*C392</f>
        <v>0</v>
      </c>
      <c r="G392" s="2">
        <f t="shared" si="37"/>
        <v>3.7401520524397776</v>
      </c>
      <c r="H392" s="2">
        <f t="shared" si="38"/>
        <v>4.2469090955487001</v>
      </c>
    </row>
    <row r="393" spans="1:8" x14ac:dyDescent="0.3">
      <c r="A393" s="1">
        <v>42943</v>
      </c>
      <c r="B393">
        <v>2671.780029</v>
      </c>
      <c r="C393" s="2">
        <f t="shared" si="36"/>
        <v>5.626918134661274E-2</v>
      </c>
      <c r="D393">
        <f t="shared" si="39"/>
        <v>2652.5939938000001</v>
      </c>
      <c r="E393">
        <f t="shared" si="40"/>
        <v>1</v>
      </c>
      <c r="F393" s="2">
        <f t="shared" si="41"/>
        <v>0</v>
      </c>
      <c r="G393" s="2">
        <f t="shared" si="37"/>
        <v>3.9506073465424172</v>
      </c>
      <c r="H393" s="2">
        <f t="shared" si="38"/>
        <v>4.2469090955487001</v>
      </c>
    </row>
    <row r="394" spans="1:8" x14ac:dyDescent="0.3">
      <c r="A394" s="1">
        <v>42944</v>
      </c>
      <c r="B394">
        <v>2809.01001</v>
      </c>
      <c r="C394" s="2">
        <f t="shared" si="36"/>
        <v>5.1362754235183994E-2</v>
      </c>
      <c r="D394">
        <f t="shared" si="39"/>
        <v>2668.3160154000002</v>
      </c>
      <c r="E394">
        <f t="shared" si="40"/>
        <v>1</v>
      </c>
      <c r="F394" s="2">
        <f t="shared" si="41"/>
        <v>5.1362754235183994E-2</v>
      </c>
      <c r="G394" s="2">
        <f t="shared" si="37"/>
        <v>4.1535214207625879</v>
      </c>
      <c r="H394" s="2">
        <f t="shared" si="38"/>
        <v>4.4650420436825353</v>
      </c>
    </row>
    <row r="395" spans="1:8" x14ac:dyDescent="0.3">
      <c r="A395" s="1">
        <v>42945</v>
      </c>
      <c r="B395">
        <v>2726.4499510000001</v>
      </c>
      <c r="C395" s="2">
        <f t="shared" si="36"/>
        <v>-2.9391158702207654E-2</v>
      </c>
      <c r="D395">
        <f t="shared" si="39"/>
        <v>2662.6339842000002</v>
      </c>
      <c r="E395">
        <f t="shared" si="40"/>
        <v>1</v>
      </c>
      <c r="F395" s="2">
        <f t="shared" si="41"/>
        <v>-2.9391158702207654E-2</v>
      </c>
      <c r="G395" s="2">
        <f t="shared" si="37"/>
        <v>4.0314446135119359</v>
      </c>
      <c r="H395" s="2">
        <f t="shared" si="38"/>
        <v>4.3338092843646328</v>
      </c>
    </row>
    <row r="396" spans="1:8" x14ac:dyDescent="0.3">
      <c r="A396" s="1">
        <v>42946</v>
      </c>
      <c r="B396">
        <v>2757.179932</v>
      </c>
      <c r="C396" s="2">
        <f t="shared" si="36"/>
        <v>1.127106000560496E-2</v>
      </c>
      <c r="D396">
        <f t="shared" si="39"/>
        <v>2698.7739745999997</v>
      </c>
      <c r="E396">
        <f t="shared" si="40"/>
        <v>1</v>
      </c>
      <c r="F396" s="2">
        <f t="shared" si="41"/>
        <v>1.127106000560496E-2</v>
      </c>
      <c r="G396" s="2">
        <f t="shared" si="37"/>
        <v>4.0768832676601017</v>
      </c>
      <c r="H396" s="2">
        <f t="shared" si="38"/>
        <v>4.3826559088615547</v>
      </c>
    </row>
    <row r="397" spans="1:8" x14ac:dyDescent="0.3">
      <c r="A397" s="1">
        <v>42947</v>
      </c>
      <c r="B397">
        <v>2875.3400879999999</v>
      </c>
      <c r="C397" s="2">
        <f t="shared" si="36"/>
        <v>4.2855438859330741E-2</v>
      </c>
      <c r="D397">
        <f t="shared" si="39"/>
        <v>2767.9520020000004</v>
      </c>
      <c r="E397">
        <f t="shared" si="40"/>
        <v>1</v>
      </c>
      <c r="F397" s="2">
        <f t="shared" si="41"/>
        <v>4.2855438859330741E-2</v>
      </c>
      <c r="G397" s="2">
        <f t="shared" si="37"/>
        <v>4.2515998892739377</v>
      </c>
      <c r="H397" s="2">
        <f t="shared" si="38"/>
        <v>4.5704765512052559</v>
      </c>
    </row>
    <row r="398" spans="1:8" x14ac:dyDescent="0.3">
      <c r="A398" s="1">
        <v>42948</v>
      </c>
      <c r="B398">
        <v>2718.26001</v>
      </c>
      <c r="C398" s="2">
        <f t="shared" si="36"/>
        <v>-5.4630086595864213E-2</v>
      </c>
      <c r="D398">
        <f t="shared" si="39"/>
        <v>2777.2479982</v>
      </c>
      <c r="E398">
        <f t="shared" si="40"/>
        <v>0</v>
      </c>
      <c r="F398" s="2">
        <f t="shared" si="41"/>
        <v>-5.4630086595864213E-2</v>
      </c>
      <c r="G398" s="2">
        <f t="shared" si="37"/>
        <v>4.0193346191519357</v>
      </c>
      <c r="H398" s="2">
        <f t="shared" si="38"/>
        <v>4.3207910214285459</v>
      </c>
    </row>
    <row r="399" spans="1:8" x14ac:dyDescent="0.3">
      <c r="A399" s="1">
        <v>42949</v>
      </c>
      <c r="B399">
        <v>2710.669922</v>
      </c>
      <c r="C399" s="2">
        <f t="shared" si="36"/>
        <v>-2.7922597441294439E-3</v>
      </c>
      <c r="D399">
        <f t="shared" si="39"/>
        <v>2757.5799805999995</v>
      </c>
      <c r="E399">
        <f t="shared" si="40"/>
        <v>0</v>
      </c>
      <c r="F399" s="2">
        <f t="shared" si="41"/>
        <v>0</v>
      </c>
      <c r="G399" s="2">
        <f t="shared" si="37"/>
        <v>4.0081115928966922</v>
      </c>
      <c r="H399" s="2">
        <f t="shared" si="38"/>
        <v>4.3207910214285459</v>
      </c>
    </row>
    <row r="400" spans="1:8" x14ac:dyDescent="0.3">
      <c r="A400" s="1">
        <v>42950</v>
      </c>
      <c r="B400">
        <v>2804.7299800000001</v>
      </c>
      <c r="C400" s="2">
        <f t="shared" si="36"/>
        <v>3.4699930536212342E-2</v>
      </c>
      <c r="D400">
        <f t="shared" si="39"/>
        <v>2773.2359864</v>
      </c>
      <c r="E400">
        <f t="shared" si="40"/>
        <v>1</v>
      </c>
      <c r="F400" s="2">
        <f t="shared" si="41"/>
        <v>0</v>
      </c>
      <c r="G400" s="2">
        <f t="shared" si="37"/>
        <v>4.147192786751595</v>
      </c>
      <c r="H400" s="2">
        <f t="shared" si="38"/>
        <v>4.3207910214285459</v>
      </c>
    </row>
    <row r="401" spans="1:8" x14ac:dyDescent="0.3">
      <c r="A401" s="1">
        <v>42951</v>
      </c>
      <c r="B401">
        <v>2895.889893</v>
      </c>
      <c r="C401" s="2">
        <f t="shared" si="36"/>
        <v>3.250220650474156E-2</v>
      </c>
      <c r="D401">
        <f t="shared" si="39"/>
        <v>2800.9779785999999</v>
      </c>
      <c r="E401">
        <f t="shared" si="40"/>
        <v>1</v>
      </c>
      <c r="F401" s="2">
        <f t="shared" si="41"/>
        <v>3.250220650474156E-2</v>
      </c>
      <c r="G401" s="2">
        <f t="shared" si="37"/>
        <v>4.2819857031215696</v>
      </c>
      <c r="H401" s="2">
        <f t="shared" si="38"/>
        <v>4.4612262634708495</v>
      </c>
    </row>
    <row r="402" spans="1:8" x14ac:dyDescent="0.3">
      <c r="A402" s="1">
        <v>42952</v>
      </c>
      <c r="B402">
        <v>3252.9099120000001</v>
      </c>
      <c r="C402" s="2">
        <f t="shared" si="36"/>
        <v>0.12328508064584764</v>
      </c>
      <c r="D402">
        <f t="shared" si="39"/>
        <v>2876.4919433999994</v>
      </c>
      <c r="E402">
        <f t="shared" si="40"/>
        <v>1</v>
      </c>
      <c r="F402" s="2">
        <f t="shared" si="41"/>
        <v>0.12328508064584764</v>
      </c>
      <c r="G402" s="2">
        <f t="shared" si="37"/>
        <v>4.8098906558552788</v>
      </c>
      <c r="H402" s="2">
        <f t="shared" si="38"/>
        <v>5.0112289031422268</v>
      </c>
    </row>
    <row r="403" spans="1:8" x14ac:dyDescent="0.3">
      <c r="A403" s="1">
        <v>42953</v>
      </c>
      <c r="B403">
        <v>3213.9399410000001</v>
      </c>
      <c r="C403" s="2">
        <f t="shared" si="36"/>
        <v>-1.1980033894034237E-2</v>
      </c>
      <c r="D403">
        <f t="shared" si="39"/>
        <v>2975.6279296000002</v>
      </c>
      <c r="E403">
        <f t="shared" si="40"/>
        <v>1</v>
      </c>
      <c r="F403" s="2">
        <f t="shared" si="41"/>
        <v>-1.1980033894034237E-2</v>
      </c>
      <c r="G403" s="2">
        <f t="shared" si="37"/>
        <v>4.7522680027715341</v>
      </c>
      <c r="H403" s="2">
        <f t="shared" si="38"/>
        <v>4.9511942110318188</v>
      </c>
    </row>
    <row r="404" spans="1:8" x14ac:dyDescent="0.3">
      <c r="A404" s="1">
        <v>42954</v>
      </c>
      <c r="B404">
        <v>3378.9399410000001</v>
      </c>
      <c r="C404" s="2">
        <f t="shared" si="36"/>
        <v>5.1338856054871096E-2</v>
      </c>
      <c r="D404">
        <f t="shared" si="39"/>
        <v>3109.2819334000001</v>
      </c>
      <c r="E404">
        <f t="shared" si="40"/>
        <v>1</v>
      </c>
      <c r="F404" s="2">
        <f t="shared" si="41"/>
        <v>5.1338856054871096E-2</v>
      </c>
      <c r="G404" s="2">
        <f t="shared" si="37"/>
        <v>4.9962440056999915</v>
      </c>
      <c r="H404" s="2">
        <f t="shared" si="38"/>
        <v>5.2053828579316921</v>
      </c>
    </row>
    <row r="405" spans="1:8" x14ac:dyDescent="0.3">
      <c r="A405" s="1">
        <v>42955</v>
      </c>
      <c r="B405">
        <v>3419.9399410000001</v>
      </c>
      <c r="C405" s="2">
        <f t="shared" si="36"/>
        <v>1.2133983058564279E-2</v>
      </c>
      <c r="D405">
        <f t="shared" si="39"/>
        <v>3232.3239256000006</v>
      </c>
      <c r="E405">
        <f t="shared" si="40"/>
        <v>1</v>
      </c>
      <c r="F405" s="2">
        <f t="shared" si="41"/>
        <v>1.2133983058564279E-2</v>
      </c>
      <c r="G405" s="2">
        <f t="shared" si="37"/>
        <v>5.0568683458216084</v>
      </c>
      <c r="H405" s="2">
        <f t="shared" si="38"/>
        <v>5.268544885343176</v>
      </c>
    </row>
    <row r="406" spans="1:8" x14ac:dyDescent="0.3">
      <c r="A406" s="1">
        <v>42956</v>
      </c>
      <c r="B406">
        <v>3342.469971</v>
      </c>
      <c r="C406" s="2">
        <f t="shared" si="36"/>
        <v>-2.2652435813638183E-2</v>
      </c>
      <c r="D406">
        <f t="shared" si="39"/>
        <v>3321.6399412000001</v>
      </c>
      <c r="E406">
        <f t="shared" si="40"/>
        <v>1</v>
      </c>
      <c r="F406" s="2">
        <f t="shared" si="41"/>
        <v>-2.2652435813638183E-2</v>
      </c>
      <c r="G406" s="2">
        <f t="shared" si="37"/>
        <v>4.9423179601998655</v>
      </c>
      <c r="H406" s="2">
        <f t="shared" si="38"/>
        <v>5.1491995104966684</v>
      </c>
    </row>
    <row r="407" spans="1:8" x14ac:dyDescent="0.3">
      <c r="A407" s="1">
        <v>42957</v>
      </c>
      <c r="B407">
        <v>3381.280029</v>
      </c>
      <c r="C407" s="2">
        <f t="shared" si="36"/>
        <v>1.1611191225867179E-2</v>
      </c>
      <c r="D407">
        <f t="shared" si="39"/>
        <v>3347.3139646000004</v>
      </c>
      <c r="E407">
        <f t="shared" si="40"/>
        <v>1</v>
      </c>
      <c r="F407" s="2">
        <f t="shared" si="41"/>
        <v>1.1611191225867179E-2</v>
      </c>
      <c r="G407" s="2">
        <f t="shared" si="37"/>
        <v>4.9997041591347839</v>
      </c>
      <c r="H407" s="2">
        <f t="shared" si="38"/>
        <v>5.2089878506731866</v>
      </c>
    </row>
    <row r="408" spans="1:8" x14ac:dyDescent="0.3">
      <c r="A408" s="1">
        <v>42958</v>
      </c>
      <c r="B408">
        <v>3650.6201169999999</v>
      </c>
      <c r="C408" s="2">
        <f t="shared" si="36"/>
        <v>7.9656250204055423E-2</v>
      </c>
      <c r="D408">
        <f t="shared" si="39"/>
        <v>3434.6499997999999</v>
      </c>
      <c r="E408">
        <f t="shared" si="40"/>
        <v>1</v>
      </c>
      <c r="F408" s="2">
        <f t="shared" si="41"/>
        <v>7.9656250204055423E-2</v>
      </c>
      <c r="G408" s="2">
        <f t="shared" si="37"/>
        <v>5.3979618445810811</v>
      </c>
      <c r="H408" s="2">
        <f t="shared" si="38"/>
        <v>5.6239162902162949</v>
      </c>
    </row>
    <row r="409" spans="1:8" x14ac:dyDescent="0.3">
      <c r="A409" s="1">
        <v>42959</v>
      </c>
      <c r="B409">
        <v>3884.709961</v>
      </c>
      <c r="C409" s="2">
        <f t="shared" si="36"/>
        <v>6.4123309601539669E-2</v>
      </c>
      <c r="D409">
        <f t="shared" si="39"/>
        <v>3535.8040037999999</v>
      </c>
      <c r="E409">
        <f t="shared" si="40"/>
        <v>1</v>
      </c>
      <c r="F409" s="2">
        <f t="shared" si="41"/>
        <v>6.4123309601539669E-2</v>
      </c>
      <c r="G409" s="2">
        <f t="shared" si="37"/>
        <v>5.7440970231584521</v>
      </c>
      <c r="H409" s="2">
        <f t="shared" si="38"/>
        <v>5.9845404156669764</v>
      </c>
    </row>
    <row r="410" spans="1:8" x14ac:dyDescent="0.3">
      <c r="A410" s="1">
        <v>42960</v>
      </c>
      <c r="B410">
        <v>4073.26001</v>
      </c>
      <c r="C410" s="2">
        <f t="shared" si="36"/>
        <v>4.8536454688489439E-2</v>
      </c>
      <c r="D410">
        <f t="shared" si="39"/>
        <v>3666.4680176000002</v>
      </c>
      <c r="E410">
        <f t="shared" si="40"/>
        <v>1</v>
      </c>
      <c r="F410" s="2">
        <f t="shared" si="41"/>
        <v>4.8536454688489439E-2</v>
      </c>
      <c r="G410" s="2">
        <f t="shared" si="37"/>
        <v>6.0228951280492691</v>
      </c>
      <c r="H410" s="2">
        <f t="shared" si="38"/>
        <v>6.2750087903834304</v>
      </c>
    </row>
    <row r="411" spans="1:8" x14ac:dyDescent="0.3">
      <c r="A411" s="1">
        <v>42961</v>
      </c>
      <c r="B411">
        <v>4325.1298829999996</v>
      </c>
      <c r="C411" s="2">
        <f t="shared" si="36"/>
        <v>6.1834960788569759E-2</v>
      </c>
      <c r="D411">
        <f t="shared" si="39"/>
        <v>3863</v>
      </c>
      <c r="E411">
        <f t="shared" si="40"/>
        <v>1</v>
      </c>
      <c r="F411" s="2">
        <f t="shared" si="41"/>
        <v>6.1834960788569759E-2</v>
      </c>
      <c r="G411" s="2">
        <f t="shared" si="37"/>
        <v>6.3953206121258637</v>
      </c>
      <c r="H411" s="2">
        <f t="shared" si="38"/>
        <v>6.6630237128847201</v>
      </c>
    </row>
    <row r="412" spans="1:8" x14ac:dyDescent="0.3">
      <c r="A412" s="1">
        <v>42962</v>
      </c>
      <c r="B412">
        <v>4181.9301759999998</v>
      </c>
      <c r="C412" s="2">
        <f t="shared" si="36"/>
        <v>-3.3108764562851389E-2</v>
      </c>
      <c r="D412">
        <f t="shared" si="39"/>
        <v>4023.1300294000002</v>
      </c>
      <c r="E412">
        <f t="shared" si="40"/>
        <v>1</v>
      </c>
      <c r="F412" s="2">
        <f t="shared" si="41"/>
        <v>-3.3108764562851389E-2</v>
      </c>
      <c r="G412" s="2">
        <f t="shared" si="37"/>
        <v>6.1835794476750374</v>
      </c>
      <c r="H412" s="2">
        <f t="shared" si="38"/>
        <v>6.4424192294981237</v>
      </c>
    </row>
    <row r="413" spans="1:8" x14ac:dyDescent="0.3">
      <c r="A413" s="1">
        <v>42963</v>
      </c>
      <c r="B413">
        <v>4376.6298829999996</v>
      </c>
      <c r="C413" s="2">
        <f t="shared" si="36"/>
        <v>4.6557378723675713E-2</v>
      </c>
      <c r="D413">
        <f t="shared" si="39"/>
        <v>4168.3319826000006</v>
      </c>
      <c r="E413">
        <f t="shared" si="40"/>
        <v>1</v>
      </c>
      <c r="F413" s="2">
        <f t="shared" si="41"/>
        <v>4.6557378723675713E-2</v>
      </c>
      <c r="G413" s="2">
        <f t="shared" si="37"/>
        <v>6.4714706978883818</v>
      </c>
      <c r="H413" s="2">
        <f t="shared" si="38"/>
        <v>6.7423613814625591</v>
      </c>
    </row>
    <row r="414" spans="1:8" x14ac:dyDescent="0.3">
      <c r="A414" s="1">
        <v>42964</v>
      </c>
      <c r="B414">
        <v>4331.6899409999996</v>
      </c>
      <c r="C414" s="2">
        <f t="shared" si="36"/>
        <v>-1.0268161393897746E-2</v>
      </c>
      <c r="D414">
        <f t="shared" si="39"/>
        <v>4257.7279785999999</v>
      </c>
      <c r="E414">
        <f t="shared" si="40"/>
        <v>1</v>
      </c>
      <c r="F414" s="2">
        <f t="shared" si="41"/>
        <v>-1.0268161393897746E-2</v>
      </c>
      <c r="G414" s="2">
        <f t="shared" si="37"/>
        <v>6.4050205923065837</v>
      </c>
      <c r="H414" s="2">
        <f t="shared" si="38"/>
        <v>6.6731297266217187</v>
      </c>
    </row>
    <row r="415" spans="1:8" x14ac:dyDescent="0.3">
      <c r="A415" s="1">
        <v>42965</v>
      </c>
      <c r="B415">
        <v>4160.6201170000004</v>
      </c>
      <c r="C415" s="2">
        <f t="shared" si="36"/>
        <v>-3.9492629050108419E-2</v>
      </c>
      <c r="D415">
        <f t="shared" si="39"/>
        <v>4275.2</v>
      </c>
      <c r="E415">
        <f t="shared" si="40"/>
        <v>0</v>
      </c>
      <c r="F415" s="2">
        <f t="shared" si="41"/>
        <v>-3.9492629050108419E-2</v>
      </c>
      <c r="G415" s="2">
        <f t="shared" si="37"/>
        <v>6.1520694899963138</v>
      </c>
      <c r="H415" s="2">
        <f t="shared" si="38"/>
        <v>6.4095902897249957</v>
      </c>
    </row>
    <row r="416" spans="1:8" x14ac:dyDescent="0.3">
      <c r="A416" s="1">
        <v>42966</v>
      </c>
      <c r="B416">
        <v>4193.7001950000003</v>
      </c>
      <c r="C416" s="2">
        <f t="shared" si="36"/>
        <v>7.9507566347711833E-3</v>
      </c>
      <c r="D416">
        <f t="shared" si="39"/>
        <v>4248.9140624000001</v>
      </c>
      <c r="E416">
        <f t="shared" si="40"/>
        <v>0</v>
      </c>
      <c r="F416" s="2">
        <f t="shared" si="41"/>
        <v>0</v>
      </c>
      <c r="G416" s="2">
        <f t="shared" si="37"/>
        <v>6.2009830973114752</v>
      </c>
      <c r="H416" s="2">
        <f t="shared" si="38"/>
        <v>6.4095902897249957</v>
      </c>
    </row>
    <row r="417" spans="1:8" x14ac:dyDescent="0.3">
      <c r="A417" s="1">
        <v>42967</v>
      </c>
      <c r="B417">
        <v>4087.6599120000001</v>
      </c>
      <c r="C417" s="2">
        <f t="shared" si="36"/>
        <v>-2.5285613675109286E-2</v>
      </c>
      <c r="D417">
        <f t="shared" si="39"/>
        <v>4230.0600095999998</v>
      </c>
      <c r="E417">
        <f t="shared" si="40"/>
        <v>0</v>
      </c>
      <c r="F417" s="2">
        <f t="shared" si="41"/>
        <v>0</v>
      </c>
      <c r="G417" s="2">
        <f t="shared" si="37"/>
        <v>6.0441874343069744</v>
      </c>
      <c r="H417" s="2">
        <f t="shared" si="38"/>
        <v>6.4095902897249957</v>
      </c>
    </row>
    <row r="418" spans="1:8" x14ac:dyDescent="0.3">
      <c r="A418" s="1">
        <v>42968</v>
      </c>
      <c r="B418">
        <v>4001.73999</v>
      </c>
      <c r="C418" s="2">
        <f t="shared" si="36"/>
        <v>-2.1019342080726422E-2</v>
      </c>
      <c r="D418">
        <f t="shared" si="39"/>
        <v>4155.0820309999999</v>
      </c>
      <c r="E418">
        <f t="shared" si="40"/>
        <v>0</v>
      </c>
      <c r="F418" s="2">
        <f t="shared" si="41"/>
        <v>0</v>
      </c>
      <c r="G418" s="2">
        <f t="shared" si="37"/>
        <v>5.9171425910252475</v>
      </c>
      <c r="H418" s="2">
        <f t="shared" si="38"/>
        <v>6.4095902897249957</v>
      </c>
    </row>
    <row r="419" spans="1:8" x14ac:dyDescent="0.3">
      <c r="A419" s="1">
        <v>42969</v>
      </c>
      <c r="B419">
        <v>4100.5200199999999</v>
      </c>
      <c r="C419" s="2">
        <f t="shared" si="36"/>
        <v>2.468426990430217E-2</v>
      </c>
      <c r="D419">
        <f t="shared" si="39"/>
        <v>4108.8480467999998</v>
      </c>
      <c r="E419">
        <f t="shared" si="40"/>
        <v>0</v>
      </c>
      <c r="F419" s="2">
        <f t="shared" si="41"/>
        <v>0</v>
      </c>
      <c r="G419" s="2">
        <f t="shared" si="37"/>
        <v>6.0632029358043562</v>
      </c>
      <c r="H419" s="2">
        <f t="shared" si="38"/>
        <v>6.4095902897249957</v>
      </c>
    </row>
    <row r="420" spans="1:8" x14ac:dyDescent="0.3">
      <c r="A420" s="1">
        <v>42970</v>
      </c>
      <c r="B420">
        <v>4151.5200199999999</v>
      </c>
      <c r="C420" s="2">
        <f t="shared" si="36"/>
        <v>1.2437446897284099E-2</v>
      </c>
      <c r="D420">
        <f t="shared" si="39"/>
        <v>4107.0280274000006</v>
      </c>
      <c r="E420">
        <f t="shared" si="40"/>
        <v>1</v>
      </c>
      <c r="F420" s="2">
        <f t="shared" si="41"/>
        <v>0</v>
      </c>
      <c r="G420" s="2">
        <f t="shared" si="37"/>
        <v>6.1386137003458803</v>
      </c>
      <c r="H420" s="2">
        <f t="shared" si="38"/>
        <v>6.4095902897249957</v>
      </c>
    </row>
    <row r="421" spans="1:8" x14ac:dyDescent="0.3">
      <c r="A421" s="1">
        <v>42971</v>
      </c>
      <c r="B421">
        <v>4334.6801759999998</v>
      </c>
      <c r="C421" s="2">
        <f t="shared" si="36"/>
        <v>4.4118817955260514E-2</v>
      </c>
      <c r="D421">
        <f t="shared" si="39"/>
        <v>4135.2240235999998</v>
      </c>
      <c r="E421">
        <f t="shared" si="40"/>
        <v>1</v>
      </c>
      <c r="F421" s="2">
        <f t="shared" si="41"/>
        <v>4.4118817955260514E-2</v>
      </c>
      <c r="G421" s="2">
        <f t="shared" si="37"/>
        <v>6.4094420806891081</v>
      </c>
      <c r="H421" s="2">
        <f t="shared" si="38"/>
        <v>6.692373836885178</v>
      </c>
    </row>
    <row r="422" spans="1:8" x14ac:dyDescent="0.3">
      <c r="A422" s="1">
        <v>42972</v>
      </c>
      <c r="B422">
        <v>4371.6000979999999</v>
      </c>
      <c r="C422" s="2">
        <f t="shared" si="36"/>
        <v>8.5173347285034673E-3</v>
      </c>
      <c r="D422">
        <f t="shared" si="39"/>
        <v>4192.0120607999997</v>
      </c>
      <c r="E422">
        <f t="shared" si="40"/>
        <v>1</v>
      </c>
      <c r="F422" s="2">
        <f t="shared" si="41"/>
        <v>8.5173347285034673E-3</v>
      </c>
      <c r="G422" s="2">
        <f t="shared" si="37"/>
        <v>6.4640334443132934</v>
      </c>
      <c r="H422" s="2">
        <f t="shared" si="38"/>
        <v>6.749375024982208</v>
      </c>
    </row>
    <row r="423" spans="1:8" x14ac:dyDescent="0.3">
      <c r="A423" s="1">
        <v>42973</v>
      </c>
      <c r="B423">
        <v>4352.3999020000001</v>
      </c>
      <c r="C423" s="2">
        <f t="shared" si="36"/>
        <v>-4.392029364438832E-3</v>
      </c>
      <c r="D423">
        <f t="shared" si="39"/>
        <v>4262.1440431999999</v>
      </c>
      <c r="E423">
        <f t="shared" si="40"/>
        <v>1</v>
      </c>
      <c r="F423" s="2">
        <f t="shared" si="41"/>
        <v>-4.392029364438832E-3</v>
      </c>
      <c r="G423" s="2">
        <f t="shared" si="37"/>
        <v>6.435643219613155</v>
      </c>
      <c r="H423" s="2">
        <f t="shared" si="38"/>
        <v>6.7197315716808763</v>
      </c>
    </row>
    <row r="424" spans="1:8" x14ac:dyDescent="0.3">
      <c r="A424" s="1">
        <v>42974</v>
      </c>
      <c r="B424">
        <v>4382.8798829999996</v>
      </c>
      <c r="C424" s="2">
        <f t="shared" si="36"/>
        <v>7.0030286017590537E-3</v>
      </c>
      <c r="D424">
        <f t="shared" si="39"/>
        <v>4318.6160158000002</v>
      </c>
      <c r="E424">
        <f t="shared" si="40"/>
        <v>1</v>
      </c>
      <c r="F424" s="2">
        <f t="shared" si="41"/>
        <v>7.0030286017590537E-3</v>
      </c>
      <c r="G424" s="2">
        <f t="shared" si="37"/>
        <v>6.4807122131508228</v>
      </c>
      <c r="H424" s="2">
        <f t="shared" si="38"/>
        <v>6.7667900440735007</v>
      </c>
    </row>
    <row r="425" spans="1:8" x14ac:dyDescent="0.3">
      <c r="A425" s="1">
        <v>42975</v>
      </c>
      <c r="B425">
        <v>4382.6601559999999</v>
      </c>
      <c r="C425" s="2">
        <f t="shared" si="36"/>
        <v>-5.0133018897446924E-5</v>
      </c>
      <c r="D425">
        <f t="shared" si="39"/>
        <v>4364.8440430000001</v>
      </c>
      <c r="E425">
        <f t="shared" si="40"/>
        <v>1</v>
      </c>
      <c r="F425" s="2">
        <f t="shared" si="41"/>
        <v>-5.0133018897446924E-5</v>
      </c>
      <c r="G425" s="2">
        <f t="shared" si="37"/>
        <v>6.4803873154829716</v>
      </c>
      <c r="H425" s="2">
        <f t="shared" si="38"/>
        <v>6.7664508044603462</v>
      </c>
    </row>
    <row r="426" spans="1:8" x14ac:dyDescent="0.3">
      <c r="A426" s="1">
        <v>42976</v>
      </c>
      <c r="B426">
        <v>4579.0200199999999</v>
      </c>
      <c r="C426" s="2">
        <f t="shared" si="36"/>
        <v>4.4803807963795128E-2</v>
      </c>
      <c r="D426">
        <f t="shared" si="39"/>
        <v>4413.7120118000003</v>
      </c>
      <c r="E426">
        <f t="shared" si="40"/>
        <v>1</v>
      </c>
      <c r="F426" s="2">
        <f t="shared" si="41"/>
        <v>4.4803807963795128E-2</v>
      </c>
      <c r="G426" s="2">
        <f t="shared" si="37"/>
        <v>6.7707333442968842</v>
      </c>
      <c r="H426" s="2">
        <f t="shared" si="38"/>
        <v>7.0696135668998545</v>
      </c>
    </row>
    <row r="427" spans="1:8" x14ac:dyDescent="0.3">
      <c r="A427" s="1">
        <v>42977</v>
      </c>
      <c r="B427">
        <v>4565.2998049999997</v>
      </c>
      <c r="C427" s="2">
        <f t="shared" si="36"/>
        <v>-2.9963212521617599E-3</v>
      </c>
      <c r="D427">
        <f t="shared" si="39"/>
        <v>4452.4519531999995</v>
      </c>
      <c r="E427">
        <f t="shared" si="40"/>
        <v>1</v>
      </c>
      <c r="F427" s="2">
        <f t="shared" si="41"/>
        <v>-2.9963212521617599E-3</v>
      </c>
      <c r="G427" s="2">
        <f t="shared" si="37"/>
        <v>6.750446052084647</v>
      </c>
      <c r="H427" s="2">
        <f t="shared" si="38"/>
        <v>7.0484307335247811</v>
      </c>
    </row>
    <row r="428" spans="1:8" x14ac:dyDescent="0.3">
      <c r="A428" s="1">
        <v>42978</v>
      </c>
      <c r="B428">
        <v>4703.3901370000003</v>
      </c>
      <c r="C428" s="2">
        <f t="shared" si="36"/>
        <v>3.0247812388741968E-2</v>
      </c>
      <c r="D428">
        <f t="shared" si="39"/>
        <v>4522.6500002000002</v>
      </c>
      <c r="E428">
        <f t="shared" si="40"/>
        <v>1</v>
      </c>
      <c r="F428" s="2">
        <f t="shared" si="41"/>
        <v>3.0247812388741968E-2</v>
      </c>
      <c r="G428" s="2">
        <f t="shared" si="37"/>
        <v>6.9546322778084271</v>
      </c>
      <c r="H428" s="2">
        <f t="shared" si="38"/>
        <v>7.2616303439874814</v>
      </c>
    </row>
    <row r="429" spans="1:8" x14ac:dyDescent="0.3">
      <c r="A429" s="1">
        <v>42979</v>
      </c>
      <c r="B429">
        <v>4892.0097660000001</v>
      </c>
      <c r="C429" s="2">
        <f t="shared" si="36"/>
        <v>4.0102909498447081E-2</v>
      </c>
      <c r="D429">
        <f t="shared" si="39"/>
        <v>4624.4759767999994</v>
      </c>
      <c r="E429">
        <f t="shared" si="40"/>
        <v>1</v>
      </c>
      <c r="F429" s="2">
        <f t="shared" si="41"/>
        <v>4.0102909498447081E-2</v>
      </c>
      <c r="G429" s="2">
        <f t="shared" si="37"/>
        <v>7.2335332666403573</v>
      </c>
      <c r="H429" s="2">
        <f t="shared" si="38"/>
        <v>7.5528428484835883</v>
      </c>
    </row>
    <row r="430" spans="1:8" x14ac:dyDescent="0.3">
      <c r="A430" s="1">
        <v>42980</v>
      </c>
      <c r="B430">
        <v>4578.7700199999999</v>
      </c>
      <c r="C430" s="2">
        <f t="shared" si="36"/>
        <v>-6.4030891388862421E-2</v>
      </c>
      <c r="D430">
        <f t="shared" si="39"/>
        <v>4663.6979496000004</v>
      </c>
      <c r="E430">
        <f t="shared" si="40"/>
        <v>0</v>
      </c>
      <c r="F430" s="2">
        <f t="shared" si="41"/>
        <v>-6.4030891388862421E-2</v>
      </c>
      <c r="G430" s="2">
        <f t="shared" si="37"/>
        <v>6.7703636836863854</v>
      </c>
      <c r="H430" s="2">
        <f t="shared" si="38"/>
        <v>7.0692275883751892</v>
      </c>
    </row>
    <row r="431" spans="1:8" x14ac:dyDescent="0.3">
      <c r="A431" s="1">
        <v>42981</v>
      </c>
      <c r="B431">
        <v>4582.9599609999996</v>
      </c>
      <c r="C431" s="2">
        <f t="shared" si="36"/>
        <v>9.1508002841322877E-4</v>
      </c>
      <c r="D431">
        <f t="shared" si="39"/>
        <v>4664.4859378000001</v>
      </c>
      <c r="E431">
        <f t="shared" si="40"/>
        <v>0</v>
      </c>
      <c r="F431" s="2">
        <f t="shared" si="41"/>
        <v>0</v>
      </c>
      <c r="G431" s="2">
        <f t="shared" si="37"/>
        <v>6.7765591082784207</v>
      </c>
      <c r="H431" s="2">
        <f t="shared" si="38"/>
        <v>7.0692275883751892</v>
      </c>
    </row>
    <row r="432" spans="1:8" x14ac:dyDescent="0.3">
      <c r="A432" s="1">
        <v>42982</v>
      </c>
      <c r="B432">
        <v>4236.3100590000004</v>
      </c>
      <c r="C432" s="2">
        <f t="shared" si="36"/>
        <v>-7.5638867664111209E-2</v>
      </c>
      <c r="D432">
        <f t="shared" si="39"/>
        <v>4598.6879886000006</v>
      </c>
      <c r="E432">
        <f t="shared" si="40"/>
        <v>0</v>
      </c>
      <c r="F432" s="2">
        <f t="shared" si="41"/>
        <v>0</v>
      </c>
      <c r="G432" s="2">
        <f t="shared" si="37"/>
        <v>6.2639878506693218</v>
      </c>
      <c r="H432" s="2">
        <f t="shared" si="38"/>
        <v>7.0692275883751892</v>
      </c>
    </row>
    <row r="433" spans="1:8" x14ac:dyDescent="0.3">
      <c r="A433" s="1">
        <v>42983</v>
      </c>
      <c r="B433">
        <v>4376.5297849999997</v>
      </c>
      <c r="C433" s="2">
        <f t="shared" si="36"/>
        <v>3.3099495562678216E-2</v>
      </c>
      <c r="D433">
        <f t="shared" si="39"/>
        <v>4533.3159181999999</v>
      </c>
      <c r="E433">
        <f t="shared" si="40"/>
        <v>0</v>
      </c>
      <c r="F433" s="2">
        <f t="shared" si="41"/>
        <v>0</v>
      </c>
      <c r="G433" s="2">
        <f t="shared" si="37"/>
        <v>6.4713226887372217</v>
      </c>
      <c r="H433" s="2">
        <f t="shared" si="38"/>
        <v>7.0692275883751892</v>
      </c>
    </row>
    <row r="434" spans="1:8" x14ac:dyDescent="0.3">
      <c r="A434" s="1">
        <v>42984</v>
      </c>
      <c r="B434">
        <v>4597.1201170000004</v>
      </c>
      <c r="C434" s="2">
        <f t="shared" si="36"/>
        <v>5.0403023134001357E-2</v>
      </c>
      <c r="D434">
        <f t="shared" si="39"/>
        <v>4474.3379883999996</v>
      </c>
      <c r="E434">
        <f t="shared" si="40"/>
        <v>1</v>
      </c>
      <c r="F434" s="2">
        <f t="shared" si="41"/>
        <v>0</v>
      </c>
      <c r="G434" s="2">
        <f t="shared" si="37"/>
        <v>6.7974969159252314</v>
      </c>
      <c r="H434" s="2">
        <f t="shared" si="38"/>
        <v>7.0692275883751892</v>
      </c>
    </row>
    <row r="435" spans="1:8" x14ac:dyDescent="0.3">
      <c r="A435" s="1">
        <v>42985</v>
      </c>
      <c r="B435">
        <v>4599.8798829999996</v>
      </c>
      <c r="C435" s="2">
        <f t="shared" si="36"/>
        <v>6.0032497079931524E-4</v>
      </c>
      <c r="D435">
        <f t="shared" si="39"/>
        <v>4478.5599610000008</v>
      </c>
      <c r="E435">
        <f t="shared" si="40"/>
        <v>1</v>
      </c>
      <c r="F435" s="2">
        <f t="shared" si="41"/>
        <v>6.0032497079931524E-4</v>
      </c>
      <c r="G435" s="2">
        <f t="shared" si="37"/>
        <v>6.8015776230627925</v>
      </c>
      <c r="H435" s="2">
        <f t="shared" si="38"/>
        <v>7.073471422220754</v>
      </c>
    </row>
    <row r="436" spans="1:8" x14ac:dyDescent="0.3">
      <c r="A436" s="1">
        <v>42986</v>
      </c>
      <c r="B436">
        <v>4228.75</v>
      </c>
      <c r="C436" s="2">
        <f t="shared" si="36"/>
        <v>-8.0682516161259432E-2</v>
      </c>
      <c r="D436">
        <f t="shared" si="39"/>
        <v>4407.7179688000006</v>
      </c>
      <c r="E436">
        <f t="shared" si="40"/>
        <v>0</v>
      </c>
      <c r="F436" s="2">
        <f t="shared" si="41"/>
        <v>-8.0682516161259432E-2</v>
      </c>
      <c r="G436" s="2">
        <f t="shared" si="37"/>
        <v>6.252809226567968</v>
      </c>
      <c r="H436" s="2">
        <f t="shared" si="38"/>
        <v>6.5027659498812209</v>
      </c>
    </row>
    <row r="437" spans="1:8" x14ac:dyDescent="0.3">
      <c r="A437" s="1">
        <v>42987</v>
      </c>
      <c r="B437">
        <v>4226.0600590000004</v>
      </c>
      <c r="C437" s="2">
        <f t="shared" si="36"/>
        <v>-6.3610783328393872E-4</v>
      </c>
      <c r="D437">
        <f t="shared" si="39"/>
        <v>4405.6679687999995</v>
      </c>
      <c r="E437">
        <f t="shared" si="40"/>
        <v>0</v>
      </c>
      <c r="F437" s="2">
        <f t="shared" si="41"/>
        <v>0</v>
      </c>
      <c r="G437" s="2">
        <f t="shared" si="37"/>
        <v>6.2488317656389176</v>
      </c>
      <c r="H437" s="2">
        <f t="shared" si="38"/>
        <v>6.5027659498812209</v>
      </c>
    </row>
    <row r="438" spans="1:8" x14ac:dyDescent="0.3">
      <c r="A438" s="1">
        <v>42988</v>
      </c>
      <c r="B438">
        <v>4122.9399409999996</v>
      </c>
      <c r="C438" s="2">
        <f t="shared" si="36"/>
        <v>-2.4401006270696857E-2</v>
      </c>
      <c r="D438">
        <f t="shared" si="39"/>
        <v>4354.95</v>
      </c>
      <c r="E438">
        <f t="shared" si="40"/>
        <v>0</v>
      </c>
      <c r="F438" s="2">
        <f t="shared" si="41"/>
        <v>0</v>
      </c>
      <c r="G438" s="2">
        <f t="shared" si="37"/>
        <v>6.0963539825410331</v>
      </c>
      <c r="H438" s="2">
        <f t="shared" si="38"/>
        <v>6.5027659498812209</v>
      </c>
    </row>
    <row r="439" spans="1:8" x14ac:dyDescent="0.3">
      <c r="A439" s="1">
        <v>42989</v>
      </c>
      <c r="B439">
        <v>4161.2700199999999</v>
      </c>
      <c r="C439" s="2">
        <f t="shared" si="36"/>
        <v>9.296783253821328E-3</v>
      </c>
      <c r="D439">
        <f t="shared" si="39"/>
        <v>4267.7799806000003</v>
      </c>
      <c r="E439">
        <f t="shared" si="40"/>
        <v>0</v>
      </c>
      <c r="F439" s="2">
        <f t="shared" si="41"/>
        <v>0</v>
      </c>
      <c r="G439" s="2">
        <f t="shared" si="37"/>
        <v>6.1530304641552878</v>
      </c>
      <c r="H439" s="2">
        <f t="shared" si="38"/>
        <v>6.5027659498812209</v>
      </c>
    </row>
    <row r="440" spans="1:8" x14ac:dyDescent="0.3">
      <c r="A440" s="1">
        <v>42990</v>
      </c>
      <c r="B440">
        <v>4130.8100590000004</v>
      </c>
      <c r="C440" s="2">
        <f t="shared" si="36"/>
        <v>-7.3198713021750406E-3</v>
      </c>
      <c r="D440">
        <f t="shared" si="39"/>
        <v>4173.9660157999997</v>
      </c>
      <c r="E440">
        <f t="shared" si="40"/>
        <v>0</v>
      </c>
      <c r="F440" s="2">
        <f t="shared" si="41"/>
        <v>0</v>
      </c>
      <c r="G440" s="2">
        <f t="shared" si="37"/>
        <v>6.107991073039309</v>
      </c>
      <c r="H440" s="2">
        <f t="shared" si="38"/>
        <v>6.5027659498812209</v>
      </c>
    </row>
    <row r="441" spans="1:8" x14ac:dyDescent="0.3">
      <c r="A441" s="1">
        <v>42991</v>
      </c>
      <c r="B441">
        <v>3882.5900879999999</v>
      </c>
      <c r="C441" s="2">
        <f t="shared" si="36"/>
        <v>-6.0089901848474292E-2</v>
      </c>
      <c r="D441">
        <f t="shared" si="39"/>
        <v>4104.7340334</v>
      </c>
      <c r="E441">
        <f t="shared" si="40"/>
        <v>0</v>
      </c>
      <c r="F441" s="2">
        <f t="shared" si="41"/>
        <v>0</v>
      </c>
      <c r="G441" s="2">
        <f t="shared" si="37"/>
        <v>5.7409624889690196</v>
      </c>
      <c r="H441" s="2">
        <f t="shared" si="38"/>
        <v>6.5027659498812209</v>
      </c>
    </row>
    <row r="442" spans="1:8" x14ac:dyDescent="0.3">
      <c r="A442" s="1">
        <v>42992</v>
      </c>
      <c r="B442">
        <v>3154.9499510000001</v>
      </c>
      <c r="C442" s="2">
        <f t="shared" si="36"/>
        <v>-0.18741101185235398</v>
      </c>
      <c r="D442">
        <f t="shared" si="39"/>
        <v>3890.5120118</v>
      </c>
      <c r="E442">
        <f t="shared" si="40"/>
        <v>0</v>
      </c>
      <c r="F442" s="2">
        <f t="shared" si="41"/>
        <v>0</v>
      </c>
      <c r="G442" s="2">
        <f t="shared" si="37"/>
        <v>4.6650428999049272</v>
      </c>
      <c r="H442" s="2">
        <f t="shared" si="38"/>
        <v>6.5027659498812209</v>
      </c>
    </row>
    <row r="443" spans="1:8" x14ac:dyDescent="0.3">
      <c r="A443" s="1">
        <v>42993</v>
      </c>
      <c r="B443">
        <v>3637.5200199999999</v>
      </c>
      <c r="C443" s="2">
        <f t="shared" si="36"/>
        <v>0.15295648948315121</v>
      </c>
      <c r="D443">
        <f t="shared" si="39"/>
        <v>3793.4280276000004</v>
      </c>
      <c r="E443">
        <f t="shared" si="40"/>
        <v>0</v>
      </c>
      <c r="F443" s="2">
        <f t="shared" si="41"/>
        <v>0</v>
      </c>
      <c r="G443" s="2">
        <f t="shared" si="37"/>
        <v>5.3785914851626844</v>
      </c>
      <c r="H443" s="2">
        <f t="shared" si="38"/>
        <v>6.5027659498812209</v>
      </c>
    </row>
    <row r="444" spans="1:8" x14ac:dyDescent="0.3">
      <c r="A444" s="1">
        <v>42994</v>
      </c>
      <c r="B444">
        <v>3625.040039</v>
      </c>
      <c r="C444" s="2">
        <f t="shared" si="36"/>
        <v>-3.4309037287443278E-3</v>
      </c>
      <c r="D444">
        <f t="shared" si="39"/>
        <v>3686.1820314000006</v>
      </c>
      <c r="E444">
        <f t="shared" si="40"/>
        <v>0</v>
      </c>
      <c r="F444" s="2">
        <f t="shared" si="41"/>
        <v>0</v>
      </c>
      <c r="G444" s="2">
        <f t="shared" si="37"/>
        <v>5.3601380555808475</v>
      </c>
      <c r="H444" s="2">
        <f t="shared" si="38"/>
        <v>6.5027659498812209</v>
      </c>
    </row>
    <row r="445" spans="1:8" x14ac:dyDescent="0.3">
      <c r="A445" s="1">
        <v>42995</v>
      </c>
      <c r="B445">
        <v>3582.8798830000001</v>
      </c>
      <c r="C445" s="2">
        <f t="shared" si="36"/>
        <v>-1.1630259403046517E-2</v>
      </c>
      <c r="D445">
        <f t="shared" si="39"/>
        <v>3576.5959962000002</v>
      </c>
      <c r="E445">
        <f t="shared" si="40"/>
        <v>1</v>
      </c>
      <c r="F445" s="2">
        <f t="shared" si="41"/>
        <v>0</v>
      </c>
      <c r="G445" s="2">
        <f t="shared" si="37"/>
        <v>5.2977982595583013</v>
      </c>
      <c r="H445" s="2">
        <f t="shared" si="38"/>
        <v>6.5027659498812209</v>
      </c>
    </row>
    <row r="446" spans="1:8" x14ac:dyDescent="0.3">
      <c r="A446" s="1">
        <v>42996</v>
      </c>
      <c r="B446">
        <v>4065.1999510000001</v>
      </c>
      <c r="C446" s="2">
        <f t="shared" si="36"/>
        <v>0.13461798434508099</v>
      </c>
      <c r="D446">
        <f t="shared" si="39"/>
        <v>3613.1179687999997</v>
      </c>
      <c r="E446">
        <f t="shared" si="40"/>
        <v>1</v>
      </c>
      <c r="F446" s="2">
        <f t="shared" si="41"/>
        <v>0.13461798434508099</v>
      </c>
      <c r="G446" s="2">
        <f t="shared" si="37"/>
        <v>6.0109771827269176</v>
      </c>
      <c r="H446" s="2">
        <f t="shared" si="38"/>
        <v>7.3781551947220567</v>
      </c>
    </row>
    <row r="447" spans="1:8" x14ac:dyDescent="0.3">
      <c r="A447" s="1">
        <v>42997</v>
      </c>
      <c r="B447">
        <v>3924.969971</v>
      </c>
      <c r="C447" s="2">
        <f t="shared" si="36"/>
        <v>-3.4495223283052767E-2</v>
      </c>
      <c r="D447">
        <f t="shared" si="39"/>
        <v>3767.1219727999996</v>
      </c>
      <c r="E447">
        <f t="shared" si="40"/>
        <v>1</v>
      </c>
      <c r="F447" s="2">
        <f t="shared" si="41"/>
        <v>-3.4495223283052767E-2</v>
      </c>
      <c r="G447" s="2">
        <f t="shared" si="37"/>
        <v>5.803627182659417</v>
      </c>
      <c r="H447" s="2">
        <f t="shared" si="38"/>
        <v>7.1236440838631037</v>
      </c>
    </row>
    <row r="448" spans="1:8" x14ac:dyDescent="0.3">
      <c r="A448" s="1">
        <v>42998</v>
      </c>
      <c r="B448">
        <v>3905.9499510000001</v>
      </c>
      <c r="C448" s="2">
        <f t="shared" si="36"/>
        <v>-4.8459020426987465E-3</v>
      </c>
      <c r="D448">
        <f t="shared" si="39"/>
        <v>3820.8079590000002</v>
      </c>
      <c r="E448">
        <f t="shared" si="40"/>
        <v>1</v>
      </c>
      <c r="F448" s="2">
        <f t="shared" si="41"/>
        <v>-4.8459020426987465E-3</v>
      </c>
      <c r="G448" s="2">
        <f t="shared" si="37"/>
        <v>5.7755033738399062</v>
      </c>
      <c r="H448" s="2">
        <f t="shared" si="38"/>
        <v>7.0891236024456523</v>
      </c>
    </row>
    <row r="449" spans="1:8" x14ac:dyDescent="0.3">
      <c r="A449" s="1">
        <v>42999</v>
      </c>
      <c r="B449">
        <v>3631.040039</v>
      </c>
      <c r="C449" s="2">
        <f t="shared" si="36"/>
        <v>-7.0382343718873752E-2</v>
      </c>
      <c r="D449">
        <f t="shared" si="39"/>
        <v>3822.007959</v>
      </c>
      <c r="E449">
        <f t="shared" si="40"/>
        <v>0</v>
      </c>
      <c r="F449" s="2">
        <f t="shared" si="41"/>
        <v>-7.0382343718873752E-2</v>
      </c>
      <c r="G449" s="2">
        <f t="shared" si="37"/>
        <v>5.3690099102327906</v>
      </c>
      <c r="H449" s="2">
        <f t="shared" si="38"/>
        <v>6.5901744683927417</v>
      </c>
    </row>
    <row r="450" spans="1:8" x14ac:dyDescent="0.3">
      <c r="A450" s="1">
        <v>43000</v>
      </c>
      <c r="B450">
        <v>3630.6999510000001</v>
      </c>
      <c r="C450" s="2">
        <f t="shared" si="36"/>
        <v>-9.3661319166771229E-5</v>
      </c>
      <c r="D450">
        <f t="shared" si="39"/>
        <v>3831.5719725999998</v>
      </c>
      <c r="E450">
        <f t="shared" si="40"/>
        <v>0</v>
      </c>
      <c r="F450" s="2">
        <f t="shared" si="41"/>
        <v>0</v>
      </c>
      <c r="G450" s="2">
        <f t="shared" si="37"/>
        <v>5.3685070416819789</v>
      </c>
      <c r="H450" s="2">
        <f t="shared" si="38"/>
        <v>6.5901744683927417</v>
      </c>
    </row>
    <row r="451" spans="1:8" x14ac:dyDescent="0.3">
      <c r="A451" s="1">
        <v>43001</v>
      </c>
      <c r="B451">
        <v>3792.3999020000001</v>
      </c>
      <c r="C451" s="2">
        <f t="shared" si="36"/>
        <v>4.4536853274108612E-2</v>
      </c>
      <c r="D451">
        <f t="shared" si="39"/>
        <v>3777.0119628000002</v>
      </c>
      <c r="E451">
        <f t="shared" si="40"/>
        <v>1</v>
      </c>
      <c r="F451" s="2">
        <f t="shared" si="41"/>
        <v>0</v>
      </c>
      <c r="G451" s="2">
        <f t="shared" si="37"/>
        <v>5.6076034520983882</v>
      </c>
      <c r="H451" s="2">
        <f t="shared" si="38"/>
        <v>6.5901744683927417</v>
      </c>
    </row>
    <row r="452" spans="1:8" x14ac:dyDescent="0.3">
      <c r="A452" s="1">
        <v>43002</v>
      </c>
      <c r="B452">
        <v>3682.8400879999999</v>
      </c>
      <c r="C452" s="2">
        <f t="shared" ref="C452:C515" si="42">B452/B451-1</f>
        <v>-2.8889309363767657E-2</v>
      </c>
      <c r="D452">
        <f t="shared" si="39"/>
        <v>3728.5859862000007</v>
      </c>
      <c r="E452">
        <f t="shared" si="40"/>
        <v>0</v>
      </c>
      <c r="F452" s="2">
        <f t="shared" si="41"/>
        <v>-2.8889309363767657E-2</v>
      </c>
      <c r="G452" s="2">
        <f t="shared" ref="G452:G515" si="43">(1+C452)*G451</f>
        <v>5.4456036611813863</v>
      </c>
      <c r="H452" s="2">
        <f t="shared" ref="H452:H515" si="44">(1+F452)*H451</f>
        <v>6.3997888794141407</v>
      </c>
    </row>
    <row r="453" spans="1:8" x14ac:dyDescent="0.3">
      <c r="A453" s="1">
        <v>43003</v>
      </c>
      <c r="B453">
        <v>3926.070068</v>
      </c>
      <c r="C453" s="2">
        <f t="shared" si="42"/>
        <v>6.6044132839905068E-2</v>
      </c>
      <c r="D453">
        <f t="shared" si="39"/>
        <v>3732.6100096</v>
      </c>
      <c r="E453">
        <f t="shared" si="40"/>
        <v>1</v>
      </c>
      <c r="F453" s="2">
        <f t="shared" si="41"/>
        <v>0</v>
      </c>
      <c r="G453" s="2">
        <f t="shared" si="43"/>
        <v>5.8052538327739232</v>
      </c>
      <c r="H453" s="2">
        <f t="shared" si="44"/>
        <v>6.3997888794141407</v>
      </c>
    </row>
    <row r="454" spans="1:8" x14ac:dyDescent="0.3">
      <c r="A454" s="1">
        <v>43004</v>
      </c>
      <c r="B454">
        <v>3892.3500979999999</v>
      </c>
      <c r="C454" s="2">
        <f t="shared" si="42"/>
        <v>-8.588733623182021E-3</v>
      </c>
      <c r="D454">
        <f t="shared" si="39"/>
        <v>3784.8720214</v>
      </c>
      <c r="E454">
        <f t="shared" si="40"/>
        <v>1</v>
      </c>
      <c r="F454" s="2">
        <f t="shared" si="41"/>
        <v>-8.588733623182021E-3</v>
      </c>
      <c r="G454" s="2">
        <f t="shared" si="43"/>
        <v>5.7553940539892716</v>
      </c>
      <c r="H454" s="2">
        <f t="shared" si="44"/>
        <v>6.3448227974842499</v>
      </c>
    </row>
    <row r="455" spans="1:8" x14ac:dyDescent="0.3">
      <c r="A455" s="1">
        <v>43005</v>
      </c>
      <c r="B455">
        <v>4200.669922</v>
      </c>
      <c r="C455" s="2">
        <f t="shared" si="42"/>
        <v>7.9211740012395948E-2</v>
      </c>
      <c r="D455">
        <f t="shared" ref="D455:D518" si="45">AVERAGE(B451:B455)</f>
        <v>3898.8660155999996</v>
      </c>
      <c r="E455">
        <f t="shared" ref="E455:E518" si="46">IF(B455&gt;D455,1,0)</f>
        <v>1</v>
      </c>
      <c r="F455" s="2">
        <f t="shared" si="41"/>
        <v>7.9211740012395948E-2</v>
      </c>
      <c r="G455" s="2">
        <f t="shared" si="43"/>
        <v>6.2112888314627597</v>
      </c>
      <c r="H455" s="2">
        <f t="shared" si="44"/>
        <v>6.8474072513432951</v>
      </c>
    </row>
    <row r="456" spans="1:8" x14ac:dyDescent="0.3">
      <c r="A456" s="1">
        <v>43006</v>
      </c>
      <c r="B456">
        <v>4174.7299800000001</v>
      </c>
      <c r="C456" s="2">
        <f t="shared" si="42"/>
        <v>-6.1751916912456961E-3</v>
      </c>
      <c r="D456">
        <f t="shared" si="45"/>
        <v>3975.3320312000005</v>
      </c>
      <c r="E456">
        <f t="shared" si="46"/>
        <v>1</v>
      </c>
      <c r="F456" s="2">
        <f t="shared" ref="F456:F519" si="47">E455*C456</f>
        <v>-6.1751916912456961E-3</v>
      </c>
      <c r="G456" s="2">
        <f t="shared" si="43"/>
        <v>6.1729329322787834</v>
      </c>
      <c r="H456" s="2">
        <f t="shared" si="44"/>
        <v>6.8051231989782242</v>
      </c>
    </row>
    <row r="457" spans="1:8" x14ac:dyDescent="0.3">
      <c r="A457" s="1">
        <v>43007</v>
      </c>
      <c r="B457">
        <v>4163.0698240000002</v>
      </c>
      <c r="C457" s="2">
        <f t="shared" si="42"/>
        <v>-2.7930323771502286E-3</v>
      </c>
      <c r="D457">
        <f t="shared" si="45"/>
        <v>4071.3779783999998</v>
      </c>
      <c r="E457">
        <f t="shared" si="46"/>
        <v>1</v>
      </c>
      <c r="F457" s="2">
        <f t="shared" si="47"/>
        <v>-2.7930323771502286E-3</v>
      </c>
      <c r="G457" s="2">
        <f t="shared" si="43"/>
        <v>6.1556917307369519</v>
      </c>
      <c r="H457" s="2">
        <f t="shared" si="44"/>
        <v>6.7861162695529815</v>
      </c>
    </row>
    <row r="458" spans="1:8" x14ac:dyDescent="0.3">
      <c r="A458" s="1">
        <v>43008</v>
      </c>
      <c r="B458">
        <v>4338.7099609999996</v>
      </c>
      <c r="C458" s="2">
        <f t="shared" si="42"/>
        <v>4.219005311595736E-2</v>
      </c>
      <c r="D458">
        <f t="shared" si="45"/>
        <v>4153.9059569999999</v>
      </c>
      <c r="E458">
        <f t="shared" si="46"/>
        <v>1</v>
      </c>
      <c r="F458" s="2">
        <f t="shared" si="47"/>
        <v>4.219005311595736E-2</v>
      </c>
      <c r="G458" s="2">
        <f t="shared" si="43"/>
        <v>6.4154006918222031</v>
      </c>
      <c r="H458" s="2">
        <f t="shared" si="44"/>
        <v>7.0724228754164846</v>
      </c>
    </row>
    <row r="459" spans="1:8" x14ac:dyDescent="0.3">
      <c r="A459" s="1">
        <v>43009</v>
      </c>
      <c r="B459">
        <v>4403.7402339999999</v>
      </c>
      <c r="C459" s="2">
        <f t="shared" si="42"/>
        <v>1.4988389079829689E-2</v>
      </c>
      <c r="D459">
        <f t="shared" si="45"/>
        <v>4256.1839841999999</v>
      </c>
      <c r="E459">
        <f t="shared" si="46"/>
        <v>1</v>
      </c>
      <c r="F459" s="2">
        <f t="shared" si="47"/>
        <v>1.4988389079829689E-2</v>
      </c>
      <c r="G459" s="2">
        <f t="shared" si="43"/>
        <v>6.5115572134942425</v>
      </c>
      <c r="H459" s="2">
        <f t="shared" si="44"/>
        <v>7.1784271012103149</v>
      </c>
    </row>
    <row r="460" spans="1:8" x14ac:dyDescent="0.3">
      <c r="A460" s="1">
        <v>43010</v>
      </c>
      <c r="B460">
        <v>4409.3198240000002</v>
      </c>
      <c r="C460" s="2">
        <f t="shared" si="42"/>
        <v>1.2670116091140216E-3</v>
      </c>
      <c r="D460">
        <f t="shared" si="45"/>
        <v>4297.9139645999994</v>
      </c>
      <c r="E460">
        <f t="shared" si="46"/>
        <v>1</v>
      </c>
      <c r="F460" s="2">
        <f t="shared" si="47"/>
        <v>1.2670116091140216E-3</v>
      </c>
      <c r="G460" s="2">
        <f t="shared" si="43"/>
        <v>6.5198074320771502</v>
      </c>
      <c r="H460" s="2">
        <f t="shared" si="44"/>
        <v>7.1875222516827275</v>
      </c>
    </row>
    <row r="461" spans="1:8" x14ac:dyDescent="0.3">
      <c r="A461" s="1">
        <v>43011</v>
      </c>
      <c r="B461">
        <v>4317.4799800000001</v>
      </c>
      <c r="C461" s="2">
        <f t="shared" si="42"/>
        <v>-2.0828573944696505E-2</v>
      </c>
      <c r="D461">
        <f t="shared" si="45"/>
        <v>4326.4639646000005</v>
      </c>
      <c r="E461">
        <f t="shared" si="46"/>
        <v>0</v>
      </c>
      <c r="F461" s="2">
        <f t="shared" si="47"/>
        <v>-2.0828573944696505E-2</v>
      </c>
      <c r="G461" s="2">
        <f t="shared" si="43"/>
        <v>6.3840091408729496</v>
      </c>
      <c r="H461" s="2">
        <f t="shared" si="44"/>
        <v>7.0378164129844025</v>
      </c>
    </row>
    <row r="462" spans="1:8" x14ac:dyDescent="0.3">
      <c r="A462" s="1">
        <v>43012</v>
      </c>
      <c r="B462">
        <v>4229.3598629999997</v>
      </c>
      <c r="C462" s="2">
        <f t="shared" si="42"/>
        <v>-2.0410081206676534E-2</v>
      </c>
      <c r="D462">
        <f t="shared" si="45"/>
        <v>4339.7219723999997</v>
      </c>
      <c r="E462">
        <f t="shared" si="46"/>
        <v>0</v>
      </c>
      <c r="F462" s="2">
        <f t="shared" si="47"/>
        <v>0</v>
      </c>
      <c r="G462" s="2">
        <f t="shared" si="43"/>
        <v>6.2537109958835675</v>
      </c>
      <c r="H462" s="2">
        <f t="shared" si="44"/>
        <v>7.0378164129844025</v>
      </c>
    </row>
    <row r="463" spans="1:8" x14ac:dyDescent="0.3">
      <c r="A463" s="1">
        <v>43013</v>
      </c>
      <c r="B463">
        <v>4328.4101559999999</v>
      </c>
      <c r="C463" s="2">
        <f t="shared" si="42"/>
        <v>2.3419689080262263E-2</v>
      </c>
      <c r="D463">
        <f t="shared" si="45"/>
        <v>4337.6620113999988</v>
      </c>
      <c r="E463">
        <f t="shared" si="46"/>
        <v>0</v>
      </c>
      <c r="F463" s="2">
        <f t="shared" si="47"/>
        <v>0</v>
      </c>
      <c r="G463" s="2">
        <f t="shared" si="43"/>
        <v>6.4001709630049781</v>
      </c>
      <c r="H463" s="2">
        <f t="shared" si="44"/>
        <v>7.0378164129844025</v>
      </c>
    </row>
    <row r="464" spans="1:8" x14ac:dyDescent="0.3">
      <c r="A464" s="1">
        <v>43014</v>
      </c>
      <c r="B464">
        <v>4370.8100590000004</v>
      </c>
      <c r="C464" s="2">
        <f t="shared" si="42"/>
        <v>9.7957220946878198E-3</v>
      </c>
      <c r="D464">
        <f t="shared" si="45"/>
        <v>4331.0759763999995</v>
      </c>
      <c r="E464">
        <f t="shared" si="46"/>
        <v>1</v>
      </c>
      <c r="F464" s="2">
        <f t="shared" si="47"/>
        <v>0</v>
      </c>
      <c r="G464" s="2">
        <f t="shared" si="43"/>
        <v>6.4628652591170654</v>
      </c>
      <c r="H464" s="2">
        <f t="shared" si="44"/>
        <v>7.0378164129844025</v>
      </c>
    </row>
    <row r="465" spans="1:8" x14ac:dyDescent="0.3">
      <c r="A465" s="1">
        <v>43015</v>
      </c>
      <c r="B465">
        <v>4426.8901370000003</v>
      </c>
      <c r="C465" s="2">
        <f t="shared" si="42"/>
        <v>1.2830591410515346E-2</v>
      </c>
      <c r="D465">
        <f t="shared" si="45"/>
        <v>4334.5900389999997</v>
      </c>
      <c r="E465">
        <f t="shared" si="46"/>
        <v>1</v>
      </c>
      <c r="F465" s="2">
        <f t="shared" si="47"/>
        <v>1.2830591410515346E-2</v>
      </c>
      <c r="G465" s="2">
        <f t="shared" si="43"/>
        <v>6.545787642598011</v>
      </c>
      <c r="H465" s="2">
        <f t="shared" si="44"/>
        <v>7.1281157598016245</v>
      </c>
    </row>
    <row r="466" spans="1:8" x14ac:dyDescent="0.3">
      <c r="A466" s="1">
        <v>43016</v>
      </c>
      <c r="B466">
        <v>4610.4799800000001</v>
      </c>
      <c r="C466" s="2">
        <f t="shared" si="42"/>
        <v>4.147151551504602E-2</v>
      </c>
      <c r="D466">
        <f t="shared" si="45"/>
        <v>4393.1900390000001</v>
      </c>
      <c r="E466">
        <f t="shared" si="46"/>
        <v>1</v>
      </c>
      <c r="F466" s="2">
        <f t="shared" si="47"/>
        <v>4.147151551504602E-2</v>
      </c>
      <c r="G466" s="2">
        <f t="shared" si="43"/>
        <v>6.8172513763762108</v>
      </c>
      <c r="H466" s="2">
        <f t="shared" si="44"/>
        <v>7.4237295231272817</v>
      </c>
    </row>
    <row r="467" spans="1:8" x14ac:dyDescent="0.3">
      <c r="A467" s="1">
        <v>43017</v>
      </c>
      <c r="B467">
        <v>4772.0200199999999</v>
      </c>
      <c r="C467" s="2">
        <f t="shared" si="42"/>
        <v>3.5037575415304056E-2</v>
      </c>
      <c r="D467">
        <f t="shared" si="45"/>
        <v>4501.7220704000001</v>
      </c>
      <c r="E467">
        <f t="shared" si="46"/>
        <v>1</v>
      </c>
      <c r="F467" s="2">
        <f t="shared" si="47"/>
        <v>3.5037575415304056E-2</v>
      </c>
      <c r="G467" s="2">
        <f t="shared" si="43"/>
        <v>7.0561113356010781</v>
      </c>
      <c r="H467" s="2">
        <f t="shared" si="44"/>
        <v>7.6838390061566733</v>
      </c>
    </row>
    <row r="468" spans="1:8" x14ac:dyDescent="0.3">
      <c r="A468" s="1">
        <v>43018</v>
      </c>
      <c r="B468">
        <v>4781.9902339999999</v>
      </c>
      <c r="C468" s="2">
        <f t="shared" si="42"/>
        <v>2.089306825665771E-3</v>
      </c>
      <c r="D468">
        <f t="shared" si="45"/>
        <v>4592.4380860000001</v>
      </c>
      <c r="E468">
        <f t="shared" si="46"/>
        <v>1</v>
      </c>
      <c r="F468" s="2">
        <f t="shared" si="47"/>
        <v>2.089306825665771E-3</v>
      </c>
      <c r="G468" s="2">
        <f t="shared" si="43"/>
        <v>7.070853717177207</v>
      </c>
      <c r="H468" s="2">
        <f t="shared" si="44"/>
        <v>7.6998929034395536</v>
      </c>
    </row>
    <row r="469" spans="1:8" x14ac:dyDescent="0.3">
      <c r="A469" s="1">
        <v>43019</v>
      </c>
      <c r="B469">
        <v>4826.4799800000001</v>
      </c>
      <c r="C469" s="2">
        <f t="shared" si="42"/>
        <v>9.3036045292769209E-3</v>
      </c>
      <c r="D469">
        <f t="shared" si="45"/>
        <v>4683.5720701999999</v>
      </c>
      <c r="E469">
        <f t="shared" si="46"/>
        <v>1</v>
      </c>
      <c r="F469" s="2">
        <f t="shared" si="47"/>
        <v>9.3036045292769209E-3</v>
      </c>
      <c r="G469" s="2">
        <f t="shared" si="43"/>
        <v>7.1366381438461914</v>
      </c>
      <c r="H469" s="2">
        <f t="shared" si="44"/>
        <v>7.7715296619309413</v>
      </c>
    </row>
    <row r="470" spans="1:8" x14ac:dyDescent="0.3">
      <c r="A470" s="1">
        <v>43020</v>
      </c>
      <c r="B470">
        <v>5446.9101559999999</v>
      </c>
      <c r="C470" s="2">
        <f t="shared" si="42"/>
        <v>0.12854713550474517</v>
      </c>
      <c r="D470">
        <f t="shared" si="45"/>
        <v>4887.5760739999996</v>
      </c>
      <c r="E470">
        <f t="shared" si="46"/>
        <v>1</v>
      </c>
      <c r="F470" s="2">
        <f t="shared" si="47"/>
        <v>0.12854713550474517</v>
      </c>
      <c r="G470" s="2">
        <f t="shared" si="43"/>
        <v>8.0540325343715207</v>
      </c>
      <c r="H470" s="2">
        <f t="shared" si="44"/>
        <v>8.7705375384623245</v>
      </c>
    </row>
    <row r="471" spans="1:8" x14ac:dyDescent="0.3">
      <c r="A471" s="1">
        <v>43021</v>
      </c>
      <c r="B471">
        <v>5647.2099609999996</v>
      </c>
      <c r="C471" s="2">
        <f t="shared" si="42"/>
        <v>3.6773106084623253E-2</v>
      </c>
      <c r="D471">
        <f t="shared" si="45"/>
        <v>5094.9220702000002</v>
      </c>
      <c r="E471">
        <f t="shared" si="46"/>
        <v>1</v>
      </c>
      <c r="F471" s="2">
        <f t="shared" si="47"/>
        <v>3.6773106084623253E-2</v>
      </c>
      <c r="G471" s="2">
        <f t="shared" si="43"/>
        <v>8.3502043271669724</v>
      </c>
      <c r="H471" s="2">
        <f t="shared" si="44"/>
        <v>9.0930574457833693</v>
      </c>
    </row>
    <row r="472" spans="1:8" x14ac:dyDescent="0.3">
      <c r="A472" s="1">
        <v>43022</v>
      </c>
      <c r="B472">
        <v>5831.7900390000004</v>
      </c>
      <c r="C472" s="2">
        <f t="shared" si="42"/>
        <v>3.2685180695374072E-2</v>
      </c>
      <c r="D472">
        <f t="shared" si="45"/>
        <v>5306.8760739999998</v>
      </c>
      <c r="E472">
        <f t="shared" si="46"/>
        <v>1</v>
      </c>
      <c r="F472" s="2">
        <f t="shared" si="47"/>
        <v>3.2685180695374072E-2</v>
      </c>
      <c r="G472" s="2">
        <f t="shared" si="43"/>
        <v>8.6231322644437185</v>
      </c>
      <c r="H472" s="2">
        <f t="shared" si="44"/>
        <v>9.3902656714722159</v>
      </c>
    </row>
    <row r="473" spans="1:8" x14ac:dyDescent="0.3">
      <c r="A473" s="1">
        <v>43023</v>
      </c>
      <c r="B473">
        <v>5678.1899409999996</v>
      </c>
      <c r="C473" s="2">
        <f t="shared" si="42"/>
        <v>-2.6338413587046583E-2</v>
      </c>
      <c r="D473">
        <f t="shared" si="45"/>
        <v>5486.1160153999999</v>
      </c>
      <c r="E473">
        <f t="shared" si="46"/>
        <v>1</v>
      </c>
      <c r="F473" s="2">
        <f t="shared" si="47"/>
        <v>-2.6338413587046583E-2</v>
      </c>
      <c r="G473" s="2">
        <f t="shared" si="43"/>
        <v>8.3960126404469939</v>
      </c>
      <c r="H473" s="2">
        <f t="shared" si="44"/>
        <v>9.1429409705247355</v>
      </c>
    </row>
    <row r="474" spans="1:8" x14ac:dyDescent="0.3">
      <c r="A474" s="1">
        <v>43024</v>
      </c>
      <c r="B474">
        <v>5725.5898440000001</v>
      </c>
      <c r="C474" s="2">
        <f t="shared" si="42"/>
        <v>8.3477135306349037E-3</v>
      </c>
      <c r="D474">
        <f t="shared" si="45"/>
        <v>5665.9379881999994</v>
      </c>
      <c r="E474">
        <f t="shared" si="46"/>
        <v>1</v>
      </c>
      <c r="F474" s="2">
        <f t="shared" si="47"/>
        <v>8.3477135306349037E-3</v>
      </c>
      <c r="G474" s="2">
        <f t="shared" si="43"/>
        <v>8.4661001487690353</v>
      </c>
      <c r="H474" s="2">
        <f t="shared" si="44"/>
        <v>9.2192636225741804</v>
      </c>
    </row>
    <row r="475" spans="1:8" x14ac:dyDescent="0.3">
      <c r="A475" s="1">
        <v>43025</v>
      </c>
      <c r="B475">
        <v>5605.5097660000001</v>
      </c>
      <c r="C475" s="2">
        <f t="shared" si="42"/>
        <v>-2.0972525324327029E-2</v>
      </c>
      <c r="D475">
        <f t="shared" si="45"/>
        <v>5697.6579101999996</v>
      </c>
      <c r="E475">
        <f t="shared" si="46"/>
        <v>0</v>
      </c>
      <c r="F475" s="2">
        <f t="shared" si="47"/>
        <v>-2.0972525324327029E-2</v>
      </c>
      <c r="G475" s="2">
        <f t="shared" si="43"/>
        <v>8.2885446490006878</v>
      </c>
      <c r="H475" s="2">
        <f t="shared" si="44"/>
        <v>9.0259123827780972</v>
      </c>
    </row>
    <row r="476" spans="1:8" x14ac:dyDescent="0.3">
      <c r="A476" s="1">
        <v>43026</v>
      </c>
      <c r="B476">
        <v>5590.6899409999996</v>
      </c>
      <c r="C476" s="2">
        <f t="shared" si="42"/>
        <v>-2.6437961253568121E-3</v>
      </c>
      <c r="D476">
        <f t="shared" si="45"/>
        <v>5686.3539062</v>
      </c>
      <c r="E476">
        <f t="shared" si="46"/>
        <v>0</v>
      </c>
      <c r="F476" s="2">
        <f t="shared" si="47"/>
        <v>0</v>
      </c>
      <c r="G476" s="2">
        <f t="shared" si="43"/>
        <v>8.2666314267728129</v>
      </c>
      <c r="H476" s="2">
        <f t="shared" si="44"/>
        <v>9.0259123827780972</v>
      </c>
    </row>
    <row r="477" spans="1:8" x14ac:dyDescent="0.3">
      <c r="A477" s="1">
        <v>43027</v>
      </c>
      <c r="B477">
        <v>5708.5200199999999</v>
      </c>
      <c r="C477" s="2">
        <f t="shared" si="42"/>
        <v>2.1076124815271768E-2</v>
      </c>
      <c r="D477">
        <f t="shared" si="45"/>
        <v>5661.6999023999997</v>
      </c>
      <c r="E477">
        <f t="shared" si="46"/>
        <v>1</v>
      </c>
      <c r="F477" s="2">
        <f t="shared" si="47"/>
        <v>0</v>
      </c>
      <c r="G477" s="2">
        <f t="shared" si="43"/>
        <v>8.4408599825253248</v>
      </c>
      <c r="H477" s="2">
        <f t="shared" si="44"/>
        <v>9.0259123827780972</v>
      </c>
    </row>
    <row r="478" spans="1:8" x14ac:dyDescent="0.3">
      <c r="A478" s="1">
        <v>43028</v>
      </c>
      <c r="B478">
        <v>6011.4501950000003</v>
      </c>
      <c r="C478" s="2">
        <f t="shared" si="42"/>
        <v>5.3066324360547812E-2</v>
      </c>
      <c r="D478">
        <f t="shared" si="45"/>
        <v>5728.3519532000009</v>
      </c>
      <c r="E478">
        <f t="shared" si="46"/>
        <v>1</v>
      </c>
      <c r="F478" s="2">
        <f t="shared" si="47"/>
        <v>5.3066324360547812E-2</v>
      </c>
      <c r="G478" s="2">
        <f t="shared" si="43"/>
        <v>8.8887853962399817</v>
      </c>
      <c r="H478" s="2">
        <f t="shared" si="44"/>
        <v>9.504884376932484</v>
      </c>
    </row>
    <row r="479" spans="1:8" x14ac:dyDescent="0.3">
      <c r="A479" s="1">
        <v>43029</v>
      </c>
      <c r="B479">
        <v>6031.6000979999999</v>
      </c>
      <c r="C479" s="2">
        <f t="shared" si="42"/>
        <v>3.3519204761538468E-3</v>
      </c>
      <c r="D479">
        <f t="shared" si="45"/>
        <v>5789.5540039999996</v>
      </c>
      <c r="E479">
        <f t="shared" si="46"/>
        <v>1</v>
      </c>
      <c r="F479" s="2">
        <f t="shared" si="47"/>
        <v>3.3519204761538468E-3</v>
      </c>
      <c r="G479" s="2">
        <f t="shared" si="43"/>
        <v>8.9185798980177751</v>
      </c>
      <c r="H479" s="2">
        <f t="shared" si="44"/>
        <v>9.5367439934989982</v>
      </c>
    </row>
    <row r="480" spans="1:8" x14ac:dyDescent="0.3">
      <c r="A480" s="1">
        <v>43030</v>
      </c>
      <c r="B480">
        <v>6008.419922</v>
      </c>
      <c r="C480" s="2">
        <f t="shared" si="42"/>
        <v>-3.8431221605169652E-3</v>
      </c>
      <c r="D480">
        <f t="shared" si="45"/>
        <v>5870.1360352000002</v>
      </c>
      <c r="E480">
        <f t="shared" si="46"/>
        <v>1</v>
      </c>
      <c r="F480" s="2">
        <f t="shared" si="47"/>
        <v>-3.8431221605169652E-3</v>
      </c>
      <c r="G480" s="2">
        <f t="shared" si="43"/>
        <v>8.8843047059713616</v>
      </c>
      <c r="H480" s="2">
        <f t="shared" si="44"/>
        <v>9.5000931213184057</v>
      </c>
    </row>
    <row r="481" spans="1:8" x14ac:dyDescent="0.3">
      <c r="A481" s="1">
        <v>43031</v>
      </c>
      <c r="B481">
        <v>5930.3198240000002</v>
      </c>
      <c r="C481" s="2">
        <f t="shared" si="42"/>
        <v>-1.2998442022008838E-2</v>
      </c>
      <c r="D481">
        <f t="shared" si="45"/>
        <v>5938.0620118000006</v>
      </c>
      <c r="E481">
        <f t="shared" si="46"/>
        <v>0</v>
      </c>
      <c r="F481" s="2">
        <f t="shared" si="47"/>
        <v>-1.2998442022008838E-2</v>
      </c>
      <c r="G481" s="2">
        <f t="shared" si="43"/>
        <v>8.7688225863449318</v>
      </c>
      <c r="H481" s="2">
        <f t="shared" si="44"/>
        <v>9.3766067116772636</v>
      </c>
    </row>
    <row r="482" spans="1:8" x14ac:dyDescent="0.3">
      <c r="A482" s="1">
        <v>43032</v>
      </c>
      <c r="B482">
        <v>5526.6401370000003</v>
      </c>
      <c r="C482" s="2">
        <f t="shared" si="42"/>
        <v>-6.8070474945770787E-2</v>
      </c>
      <c r="D482">
        <f t="shared" si="45"/>
        <v>5901.6860352000003</v>
      </c>
      <c r="E482">
        <f t="shared" si="46"/>
        <v>0</v>
      </c>
      <c r="F482" s="2">
        <f t="shared" si="47"/>
        <v>0</v>
      </c>
      <c r="G482" s="2">
        <f t="shared" si="43"/>
        <v>8.1719246681772297</v>
      </c>
      <c r="H482" s="2">
        <f t="shared" si="44"/>
        <v>9.3766067116772636</v>
      </c>
    </row>
    <row r="483" spans="1:8" x14ac:dyDescent="0.3">
      <c r="A483" s="1">
        <v>43033</v>
      </c>
      <c r="B483">
        <v>5750.7998049999997</v>
      </c>
      <c r="C483" s="2">
        <f t="shared" si="42"/>
        <v>4.0559845121683535E-2</v>
      </c>
      <c r="D483">
        <f t="shared" si="45"/>
        <v>5849.5559572000002</v>
      </c>
      <c r="E483">
        <f t="shared" si="46"/>
        <v>0</v>
      </c>
      <c r="F483" s="2">
        <f t="shared" si="47"/>
        <v>0</v>
      </c>
      <c r="G483" s="2">
        <f t="shared" si="43"/>
        <v>8.503376667064563</v>
      </c>
      <c r="H483" s="2">
        <f t="shared" si="44"/>
        <v>9.3766067116772636</v>
      </c>
    </row>
    <row r="484" spans="1:8" x14ac:dyDescent="0.3">
      <c r="A484" s="1">
        <v>43034</v>
      </c>
      <c r="B484">
        <v>5904.830078</v>
      </c>
      <c r="C484" s="2">
        <f t="shared" si="42"/>
        <v>2.6784147983395235E-2</v>
      </c>
      <c r="D484">
        <f t="shared" si="45"/>
        <v>5824.2019531999995</v>
      </c>
      <c r="E484">
        <f t="shared" si="46"/>
        <v>1</v>
      </c>
      <c r="F484" s="2">
        <f t="shared" si="47"/>
        <v>0</v>
      </c>
      <c r="G484" s="2">
        <f t="shared" si="43"/>
        <v>8.731132366073771</v>
      </c>
      <c r="H484" s="2">
        <f t="shared" si="44"/>
        <v>9.3766067116772636</v>
      </c>
    </row>
    <row r="485" spans="1:8" x14ac:dyDescent="0.3">
      <c r="A485" s="1">
        <v>43035</v>
      </c>
      <c r="B485">
        <v>5780.8999020000001</v>
      </c>
      <c r="C485" s="2">
        <f t="shared" si="42"/>
        <v>-2.0987932652242525E-2</v>
      </c>
      <c r="D485">
        <f t="shared" si="45"/>
        <v>5778.6979492</v>
      </c>
      <c r="E485">
        <f t="shared" si="46"/>
        <v>1</v>
      </c>
      <c r="F485" s="2">
        <f t="shared" si="47"/>
        <v>-2.0987932652242525E-2</v>
      </c>
      <c r="G485" s="2">
        <f t="shared" si="43"/>
        <v>8.5478839479967998</v>
      </c>
      <c r="H485" s="2">
        <f t="shared" si="44"/>
        <v>9.1798111215060167</v>
      </c>
    </row>
    <row r="486" spans="1:8" x14ac:dyDescent="0.3">
      <c r="A486" s="1">
        <v>43036</v>
      </c>
      <c r="B486">
        <v>5753.0898440000001</v>
      </c>
      <c r="C486" s="2">
        <f t="shared" si="42"/>
        <v>-4.8106797335097928E-3</v>
      </c>
      <c r="D486">
        <f t="shared" si="45"/>
        <v>5743.2519532000006</v>
      </c>
      <c r="E486">
        <f t="shared" si="46"/>
        <v>1</v>
      </c>
      <c r="F486" s="2">
        <f t="shared" si="47"/>
        <v>-4.8106797335097928E-3</v>
      </c>
      <c r="G486" s="2">
        <f t="shared" si="43"/>
        <v>8.5067628159237785</v>
      </c>
      <c r="H486" s="2">
        <f t="shared" si="44"/>
        <v>9.1356499901863408</v>
      </c>
    </row>
    <row r="487" spans="1:8" x14ac:dyDescent="0.3">
      <c r="A487" s="1">
        <v>43037</v>
      </c>
      <c r="B487">
        <v>6153.8500979999999</v>
      </c>
      <c r="C487" s="2">
        <f t="shared" si="42"/>
        <v>6.9660002688461287E-2</v>
      </c>
      <c r="D487">
        <f t="shared" si="45"/>
        <v>5868.6939454000003</v>
      </c>
      <c r="E487">
        <f t="shared" si="46"/>
        <v>1</v>
      </c>
      <c r="F487" s="2">
        <f t="shared" si="47"/>
        <v>6.9660002688461287E-2</v>
      </c>
      <c r="G487" s="2">
        <f t="shared" si="43"/>
        <v>9.0993439365511311</v>
      </c>
      <c r="H487" s="2">
        <f t="shared" si="44"/>
        <v>9.7720393930635634</v>
      </c>
    </row>
    <row r="488" spans="1:8" x14ac:dyDescent="0.3">
      <c r="A488" s="1">
        <v>43038</v>
      </c>
      <c r="B488">
        <v>6130.5297849999997</v>
      </c>
      <c r="C488" s="2">
        <f t="shared" si="42"/>
        <v>-3.7895484336837315E-3</v>
      </c>
      <c r="D488">
        <f t="shared" si="45"/>
        <v>5944.6399413999989</v>
      </c>
      <c r="E488">
        <f t="shared" si="46"/>
        <v>1</v>
      </c>
      <c r="F488" s="2">
        <f t="shared" si="47"/>
        <v>-3.7895484336837315E-3</v>
      </c>
      <c r="G488" s="2">
        <f t="shared" si="43"/>
        <v>9.0648615319888233</v>
      </c>
      <c r="H488" s="2">
        <f t="shared" si="44"/>
        <v>9.7350077764876843</v>
      </c>
    </row>
    <row r="489" spans="1:8" x14ac:dyDescent="0.3">
      <c r="A489" s="1">
        <v>43039</v>
      </c>
      <c r="B489">
        <v>6468.3999020000001</v>
      </c>
      <c r="C489" s="2">
        <f t="shared" si="42"/>
        <v>5.5112711111312329E-2</v>
      </c>
      <c r="D489">
        <f t="shared" si="45"/>
        <v>6057.3539062</v>
      </c>
      <c r="E489">
        <f t="shared" si="46"/>
        <v>1</v>
      </c>
      <c r="F489" s="2">
        <f t="shared" si="47"/>
        <v>5.5112711111312329E-2</v>
      </c>
      <c r="G489" s="2">
        <f t="shared" si="43"/>
        <v>9.5644506268653711</v>
      </c>
      <c r="H489" s="2">
        <f t="shared" si="44"/>
        <v>10.271530447739629</v>
      </c>
    </row>
    <row r="490" spans="1:8" x14ac:dyDescent="0.3">
      <c r="A490" s="1">
        <v>43040</v>
      </c>
      <c r="B490">
        <v>6767.3100590000004</v>
      </c>
      <c r="C490" s="2">
        <f t="shared" si="42"/>
        <v>4.6210834445714832E-2</v>
      </c>
      <c r="D490">
        <f t="shared" si="45"/>
        <v>6254.6359376</v>
      </c>
      <c r="E490">
        <f t="shared" si="46"/>
        <v>1</v>
      </c>
      <c r="F490" s="2">
        <f t="shared" si="47"/>
        <v>4.6210834445714832E-2</v>
      </c>
      <c r="G490" s="2">
        <f t="shared" si="43"/>
        <v>10.00643187134766</v>
      </c>
      <c r="H490" s="2">
        <f t="shared" si="44"/>
        <v>10.746186440764244</v>
      </c>
    </row>
    <row r="491" spans="1:8" x14ac:dyDescent="0.3">
      <c r="A491" s="1">
        <v>43041</v>
      </c>
      <c r="B491">
        <v>7078.5</v>
      </c>
      <c r="C491" s="2">
        <f t="shared" si="42"/>
        <v>4.5984288925278616E-2</v>
      </c>
      <c r="D491">
        <f t="shared" si="45"/>
        <v>6519.7179687999997</v>
      </c>
      <c r="E491">
        <f t="shared" si="46"/>
        <v>1</v>
      </c>
      <c r="F491" s="2">
        <f t="shared" si="47"/>
        <v>4.5984288925278616E-2</v>
      </c>
      <c r="G491" s="2">
        <f t="shared" si="43"/>
        <v>10.466570525630827</v>
      </c>
      <c r="H491" s="2">
        <f t="shared" si="44"/>
        <v>11.240342182901259</v>
      </c>
    </row>
    <row r="492" spans="1:8" x14ac:dyDescent="0.3">
      <c r="A492" s="1">
        <v>43042</v>
      </c>
      <c r="B492">
        <v>7207.7597660000001</v>
      </c>
      <c r="C492" s="2">
        <f t="shared" si="42"/>
        <v>1.826089793035246E-2</v>
      </c>
      <c r="D492">
        <f t="shared" si="45"/>
        <v>6730.4999024000008</v>
      </c>
      <c r="E492">
        <f t="shared" si="46"/>
        <v>1</v>
      </c>
      <c r="F492" s="2">
        <f t="shared" si="47"/>
        <v>1.826089793035246E-2</v>
      </c>
      <c r="G492" s="2">
        <f t="shared" si="43"/>
        <v>10.657699501680208</v>
      </c>
      <c r="H492" s="2">
        <f t="shared" si="44"/>
        <v>11.445600924205454</v>
      </c>
    </row>
    <row r="493" spans="1:8" x14ac:dyDescent="0.3">
      <c r="A493" s="1">
        <v>43043</v>
      </c>
      <c r="B493">
        <v>7379.9501950000003</v>
      </c>
      <c r="C493" s="2">
        <f t="shared" si="42"/>
        <v>2.3889590467796484E-2</v>
      </c>
      <c r="D493">
        <f t="shared" si="45"/>
        <v>6980.3839844000004</v>
      </c>
      <c r="E493">
        <f t="shared" si="46"/>
        <v>1</v>
      </c>
      <c r="F493" s="2">
        <f t="shared" si="47"/>
        <v>2.3889590467796484E-2</v>
      </c>
      <c r="G493" s="2">
        <f t="shared" si="43"/>
        <v>10.912307578104187</v>
      </c>
      <c r="H493" s="2">
        <f t="shared" si="44"/>
        <v>11.719031642942555</v>
      </c>
    </row>
    <row r="494" spans="1:8" x14ac:dyDescent="0.3">
      <c r="A494" s="1">
        <v>43044</v>
      </c>
      <c r="B494">
        <v>7407.4101559999999</v>
      </c>
      <c r="C494" s="2">
        <f t="shared" si="42"/>
        <v>3.7208870350649015E-3</v>
      </c>
      <c r="D494">
        <f t="shared" si="45"/>
        <v>7168.1860352000003</v>
      </c>
      <c r="E494">
        <f t="shared" si="46"/>
        <v>1</v>
      </c>
      <c r="F494" s="2">
        <f t="shared" si="47"/>
        <v>3.7208870350649015E-3</v>
      </c>
      <c r="G494" s="2">
        <f t="shared" si="43"/>
        <v>10.952911041894195</v>
      </c>
      <c r="H494" s="2">
        <f t="shared" si="44"/>
        <v>11.762636835846296</v>
      </c>
    </row>
    <row r="495" spans="1:8" x14ac:dyDescent="0.3">
      <c r="A495" s="1">
        <v>43045</v>
      </c>
      <c r="B495">
        <v>7022.7597660000001</v>
      </c>
      <c r="C495" s="2">
        <f t="shared" si="42"/>
        <v>-5.1927783381676695E-2</v>
      </c>
      <c r="D495">
        <f t="shared" si="45"/>
        <v>7219.2759765999999</v>
      </c>
      <c r="E495">
        <f t="shared" si="46"/>
        <v>0</v>
      </c>
      <c r="F495" s="2">
        <f t="shared" si="47"/>
        <v>-5.1927783381676695E-2</v>
      </c>
      <c r="G495" s="2">
        <f t="shared" si="43"/>
        <v>10.384150649911939</v>
      </c>
      <c r="H495" s="2">
        <f t="shared" si="44"/>
        <v>11.151829178237138</v>
      </c>
    </row>
    <row r="496" spans="1:8" x14ac:dyDescent="0.3">
      <c r="A496" s="1">
        <v>43046</v>
      </c>
      <c r="B496">
        <v>7144.3798829999996</v>
      </c>
      <c r="C496" s="2">
        <f t="shared" si="42"/>
        <v>1.731799478444529E-2</v>
      </c>
      <c r="D496">
        <f t="shared" si="45"/>
        <v>7232.4519531999995</v>
      </c>
      <c r="E496">
        <f t="shared" si="46"/>
        <v>0</v>
      </c>
      <c r="F496" s="2">
        <f t="shared" si="47"/>
        <v>0</v>
      </c>
      <c r="G496" s="2">
        <f t="shared" si="43"/>
        <v>10.563983316708008</v>
      </c>
      <c r="H496" s="2">
        <f t="shared" si="44"/>
        <v>11.151829178237138</v>
      </c>
    </row>
    <row r="497" spans="1:8" x14ac:dyDescent="0.3">
      <c r="A497" s="1">
        <v>43047</v>
      </c>
      <c r="B497">
        <v>7459.6899409999996</v>
      </c>
      <c r="C497" s="2">
        <f t="shared" si="42"/>
        <v>4.4133999474226915E-2</v>
      </c>
      <c r="D497">
        <f t="shared" si="45"/>
        <v>7282.837988199999</v>
      </c>
      <c r="E497">
        <f t="shared" si="46"/>
        <v>1</v>
      </c>
      <c r="F497" s="2">
        <f t="shared" si="47"/>
        <v>0</v>
      </c>
      <c r="G497" s="2">
        <f t="shared" si="43"/>
        <v>11.030214150853341</v>
      </c>
      <c r="H497" s="2">
        <f t="shared" si="44"/>
        <v>11.151829178237138</v>
      </c>
    </row>
    <row r="498" spans="1:8" x14ac:dyDescent="0.3">
      <c r="A498" s="1">
        <v>43048</v>
      </c>
      <c r="B498">
        <v>7143.580078</v>
      </c>
      <c r="C498" s="2">
        <f t="shared" si="42"/>
        <v>-4.2375737530670587E-2</v>
      </c>
      <c r="D498">
        <f t="shared" si="45"/>
        <v>7235.5639648000015</v>
      </c>
      <c r="E498">
        <f t="shared" si="46"/>
        <v>0</v>
      </c>
      <c r="F498" s="2">
        <f t="shared" si="47"/>
        <v>-4.2375737530670587E-2</v>
      </c>
      <c r="G498" s="2">
        <f t="shared" si="43"/>
        <v>10.562800691089691</v>
      </c>
      <c r="H498" s="2">
        <f t="shared" si="44"/>
        <v>10.679262191993287</v>
      </c>
    </row>
    <row r="499" spans="1:8" x14ac:dyDescent="0.3">
      <c r="A499" s="1">
        <v>43049</v>
      </c>
      <c r="B499">
        <v>6618.1401370000003</v>
      </c>
      <c r="C499" s="2">
        <f t="shared" si="42"/>
        <v>-7.35541472570862E-2</v>
      </c>
      <c r="D499">
        <f t="shared" si="45"/>
        <v>7077.7099610000005</v>
      </c>
      <c r="E499">
        <f t="shared" si="46"/>
        <v>0</v>
      </c>
      <c r="F499" s="2">
        <f t="shared" si="47"/>
        <v>0</v>
      </c>
      <c r="G499" s="2">
        <f t="shared" si="43"/>
        <v>9.7858628936100285</v>
      </c>
      <c r="H499" s="2">
        <f t="shared" si="44"/>
        <v>10.679262191993287</v>
      </c>
    </row>
    <row r="500" spans="1:8" x14ac:dyDescent="0.3">
      <c r="A500" s="1">
        <v>43050</v>
      </c>
      <c r="B500">
        <v>6357.6000979999999</v>
      </c>
      <c r="C500" s="2">
        <f t="shared" si="42"/>
        <v>-3.9367561521310268E-2</v>
      </c>
      <c r="D500">
        <f t="shared" si="45"/>
        <v>6944.6780274000002</v>
      </c>
      <c r="E500">
        <f t="shared" si="46"/>
        <v>0</v>
      </c>
      <c r="F500" s="2">
        <f t="shared" si="47"/>
        <v>0</v>
      </c>
      <c r="G500" s="2">
        <f t="shared" si="43"/>
        <v>9.4006173341067285</v>
      </c>
      <c r="H500" s="2">
        <f t="shared" si="44"/>
        <v>10.679262191993287</v>
      </c>
    </row>
    <row r="501" spans="1:8" x14ac:dyDescent="0.3">
      <c r="A501" s="1">
        <v>43051</v>
      </c>
      <c r="B501">
        <v>5950.0698240000002</v>
      </c>
      <c r="C501" s="2">
        <f t="shared" si="42"/>
        <v>-6.4101275279677017E-2</v>
      </c>
      <c r="D501">
        <f t="shared" si="45"/>
        <v>6705.8160155999994</v>
      </c>
      <c r="E501">
        <f t="shared" si="46"/>
        <v>0</v>
      </c>
      <c r="F501" s="2">
        <f t="shared" si="47"/>
        <v>0</v>
      </c>
      <c r="G501" s="2">
        <f t="shared" si="43"/>
        <v>8.7980257745742492</v>
      </c>
      <c r="H501" s="2">
        <f t="shared" si="44"/>
        <v>10.679262191993287</v>
      </c>
    </row>
    <row r="502" spans="1:8" x14ac:dyDescent="0.3">
      <c r="A502" s="1">
        <v>43052</v>
      </c>
      <c r="B502">
        <v>6559.4902339999999</v>
      </c>
      <c r="C502" s="2">
        <f t="shared" si="42"/>
        <v>0.10242239637959583</v>
      </c>
      <c r="D502">
        <f t="shared" si="45"/>
        <v>6525.7760742000009</v>
      </c>
      <c r="E502">
        <f t="shared" si="46"/>
        <v>1</v>
      </c>
      <c r="F502" s="2">
        <f t="shared" si="47"/>
        <v>0</v>
      </c>
      <c r="G502" s="2">
        <f t="shared" si="43"/>
        <v>9.6991406578155939</v>
      </c>
      <c r="H502" s="2">
        <f t="shared" si="44"/>
        <v>10.679262191993287</v>
      </c>
    </row>
    <row r="503" spans="1:8" x14ac:dyDescent="0.3">
      <c r="A503" s="1">
        <v>43053</v>
      </c>
      <c r="B503">
        <v>6635.75</v>
      </c>
      <c r="C503" s="2">
        <f t="shared" si="42"/>
        <v>1.1625867754893715E-2</v>
      </c>
      <c r="D503">
        <f t="shared" si="45"/>
        <v>6424.2100586000006</v>
      </c>
      <c r="E503">
        <f t="shared" si="46"/>
        <v>1</v>
      </c>
      <c r="F503" s="2">
        <f t="shared" si="47"/>
        <v>1.1625867754893715E-2</v>
      </c>
      <c r="G503" s="2">
        <f t="shared" si="43"/>
        <v>9.8119015844394699</v>
      </c>
      <c r="H503" s="2">
        <f t="shared" si="44"/>
        <v>10.803417881957238</v>
      </c>
    </row>
    <row r="504" spans="1:8" x14ac:dyDescent="0.3">
      <c r="A504" s="1">
        <v>43054</v>
      </c>
      <c r="B504">
        <v>7315.5400390000004</v>
      </c>
      <c r="C504" s="2">
        <f t="shared" si="42"/>
        <v>0.10244358798930042</v>
      </c>
      <c r="D504">
        <f t="shared" si="45"/>
        <v>6563.690039000001</v>
      </c>
      <c r="E504">
        <f t="shared" si="46"/>
        <v>1</v>
      </c>
      <c r="F504" s="2">
        <f t="shared" si="47"/>
        <v>0.10244358798930042</v>
      </c>
      <c r="G504" s="2">
        <f t="shared" si="43"/>
        <v>10.81706798774735</v>
      </c>
      <c r="H504" s="2">
        <f t="shared" si="44"/>
        <v>11.910158772332705</v>
      </c>
    </row>
    <row r="505" spans="1:8" x14ac:dyDescent="0.3">
      <c r="A505" s="1">
        <v>43055</v>
      </c>
      <c r="B505">
        <v>7871.6899409999996</v>
      </c>
      <c r="C505" s="2">
        <f t="shared" si="42"/>
        <v>7.6023082237961725E-2</v>
      </c>
      <c r="D505">
        <f t="shared" si="45"/>
        <v>6866.5080075999995</v>
      </c>
      <c r="E505">
        <f t="shared" si="46"/>
        <v>1</v>
      </c>
      <c r="F505" s="2">
        <f t="shared" si="47"/>
        <v>7.6023082237961725E-2</v>
      </c>
      <c r="G505" s="2">
        <f t="shared" si="43"/>
        <v>11.63941483695349</v>
      </c>
      <c r="H505" s="2">
        <f t="shared" si="44"/>
        <v>12.815605752148937</v>
      </c>
    </row>
    <row r="506" spans="1:8" x14ac:dyDescent="0.3">
      <c r="A506" s="1">
        <v>43056</v>
      </c>
      <c r="B506">
        <v>7708.9902339999999</v>
      </c>
      <c r="C506" s="2">
        <f t="shared" si="42"/>
        <v>-2.066896793693207E-2</v>
      </c>
      <c r="D506">
        <f t="shared" si="45"/>
        <v>7218.2920895999996</v>
      </c>
      <c r="E506">
        <f t="shared" si="46"/>
        <v>1</v>
      </c>
      <c r="F506" s="2">
        <f t="shared" si="47"/>
        <v>-2.066896793693207E-2</v>
      </c>
      <c r="G506" s="2">
        <f t="shared" si="43"/>
        <v>11.398840144883847</v>
      </c>
      <c r="H506" s="2">
        <f t="shared" si="44"/>
        <v>12.550720407765407</v>
      </c>
    </row>
    <row r="507" spans="1:8" x14ac:dyDescent="0.3">
      <c r="A507" s="1">
        <v>43057</v>
      </c>
      <c r="B507">
        <v>7790.1499020000001</v>
      </c>
      <c r="C507" s="2">
        <f t="shared" si="42"/>
        <v>1.0527924609639694E-2</v>
      </c>
      <c r="D507">
        <f t="shared" si="45"/>
        <v>7464.4240231999993</v>
      </c>
      <c r="E507">
        <f t="shared" si="46"/>
        <v>1</v>
      </c>
      <c r="F507" s="2">
        <f t="shared" si="47"/>
        <v>1.0527924609639694E-2</v>
      </c>
      <c r="G507" s="2">
        <f t="shared" si="43"/>
        <v>11.518846274566519</v>
      </c>
      <c r="H507" s="2">
        <f t="shared" si="44"/>
        <v>12.682853446015027</v>
      </c>
    </row>
    <row r="508" spans="1:8" x14ac:dyDescent="0.3">
      <c r="A508" s="1">
        <v>43058</v>
      </c>
      <c r="B508">
        <v>8036.4902339999999</v>
      </c>
      <c r="C508" s="2">
        <f t="shared" si="42"/>
        <v>3.1622027188046298E-2</v>
      </c>
      <c r="D508">
        <f t="shared" si="45"/>
        <v>7744.5720700000002</v>
      </c>
      <c r="E508">
        <f t="shared" si="46"/>
        <v>1</v>
      </c>
      <c r="F508" s="2">
        <f t="shared" si="47"/>
        <v>3.1622027188046298E-2</v>
      </c>
      <c r="G508" s="2">
        <f t="shared" si="43"/>
        <v>11.883095544635786</v>
      </c>
      <c r="H508" s="2">
        <f t="shared" si="44"/>
        <v>13.083910982506922</v>
      </c>
    </row>
    <row r="509" spans="1:8" x14ac:dyDescent="0.3">
      <c r="A509" s="1">
        <v>43059</v>
      </c>
      <c r="B509">
        <v>8200.6396480000003</v>
      </c>
      <c r="C509" s="2">
        <f t="shared" si="42"/>
        <v>2.0425510293726523E-2</v>
      </c>
      <c r="D509">
        <f t="shared" si="45"/>
        <v>7921.5919918</v>
      </c>
      <c r="E509">
        <f t="shared" si="46"/>
        <v>1</v>
      </c>
      <c r="F509" s="2">
        <f t="shared" si="47"/>
        <v>2.0425510293726523E-2</v>
      </c>
      <c r="G509" s="2">
        <f t="shared" si="43"/>
        <v>12.125813835004081</v>
      </c>
      <c r="H509" s="2">
        <f t="shared" si="44"/>
        <v>13.351156540962318</v>
      </c>
    </row>
    <row r="510" spans="1:8" x14ac:dyDescent="0.3">
      <c r="A510" s="1">
        <v>43060</v>
      </c>
      <c r="B510">
        <v>8071.2597660000001</v>
      </c>
      <c r="C510" s="2">
        <f t="shared" si="42"/>
        <v>-1.5776803707202691E-2</v>
      </c>
      <c r="D510">
        <f t="shared" si="45"/>
        <v>7961.5059567999997</v>
      </c>
      <c r="E510">
        <f t="shared" si="46"/>
        <v>1</v>
      </c>
      <c r="F510" s="2">
        <f t="shared" si="47"/>
        <v>-1.5776803707202691E-2</v>
      </c>
      <c r="G510" s="2">
        <f t="shared" si="43"/>
        <v>11.93450725033914</v>
      </c>
      <c r="H510" s="2">
        <f t="shared" si="44"/>
        <v>13.140517964951421</v>
      </c>
    </row>
    <row r="511" spans="1:8" x14ac:dyDescent="0.3">
      <c r="A511" s="1">
        <v>43061</v>
      </c>
      <c r="B511">
        <v>8253.5498050000006</v>
      </c>
      <c r="C511" s="2">
        <f t="shared" si="42"/>
        <v>2.2585078944911796E-2</v>
      </c>
      <c r="D511">
        <f t="shared" si="45"/>
        <v>8070.4178709999996</v>
      </c>
      <c r="E511">
        <f t="shared" si="46"/>
        <v>1</v>
      </c>
      <c r="F511" s="2">
        <f t="shared" si="47"/>
        <v>2.2585078944911796E-2</v>
      </c>
      <c r="G511" s="2">
        <f t="shared" si="43"/>
        <v>12.204049038756672</v>
      </c>
      <c r="H511" s="2">
        <f t="shared" si="44"/>
        <v>13.437297600566881</v>
      </c>
    </row>
    <row r="512" spans="1:8" x14ac:dyDescent="0.3">
      <c r="A512" s="1">
        <v>43062</v>
      </c>
      <c r="B512">
        <v>8038.7700199999999</v>
      </c>
      <c r="C512" s="2">
        <f t="shared" si="42"/>
        <v>-2.6022716294737402E-2</v>
      </c>
      <c r="D512">
        <f t="shared" si="45"/>
        <v>8120.1418945999994</v>
      </c>
      <c r="E512">
        <f t="shared" si="46"/>
        <v>0</v>
      </c>
      <c r="F512" s="2">
        <f t="shared" si="47"/>
        <v>-2.6022716294737402E-2</v>
      </c>
      <c r="G512" s="2">
        <f t="shared" si="43"/>
        <v>11.886466532974044</v>
      </c>
      <c r="H512" s="2">
        <f t="shared" si="44"/>
        <v>13.087622617339374</v>
      </c>
    </row>
    <row r="513" spans="1:8" x14ac:dyDescent="0.3">
      <c r="A513" s="1">
        <v>43063</v>
      </c>
      <c r="B513">
        <v>8253.6904300000006</v>
      </c>
      <c r="C513" s="2">
        <f t="shared" si="42"/>
        <v>2.6735484342168103E-2</v>
      </c>
      <c r="D513">
        <f t="shared" si="45"/>
        <v>8163.5819338000001</v>
      </c>
      <c r="E513">
        <f t="shared" si="46"/>
        <v>1</v>
      </c>
      <c r="F513" s="2">
        <f t="shared" si="47"/>
        <v>0</v>
      </c>
      <c r="G513" s="2">
        <f t="shared" si="43"/>
        <v>12.204256972850077</v>
      </c>
      <c r="H513" s="2">
        <f t="shared" si="44"/>
        <v>13.087622617339374</v>
      </c>
    </row>
    <row r="514" spans="1:8" x14ac:dyDescent="0.3">
      <c r="A514" s="1">
        <v>43064</v>
      </c>
      <c r="B514">
        <v>8790.9199219999991</v>
      </c>
      <c r="C514" s="2">
        <f t="shared" si="42"/>
        <v>6.5089610103052919E-2</v>
      </c>
      <c r="D514">
        <f t="shared" si="45"/>
        <v>8281.6379886000013</v>
      </c>
      <c r="E514">
        <f t="shared" si="46"/>
        <v>1</v>
      </c>
      <c r="F514" s="2">
        <f t="shared" si="47"/>
        <v>6.5089610103052919E-2</v>
      </c>
      <c r="G514" s="2">
        <f t="shared" si="43"/>
        <v>12.998627300810353</v>
      </c>
      <c r="H514" s="2">
        <f t="shared" si="44"/>
        <v>13.93949087067789</v>
      </c>
    </row>
    <row r="515" spans="1:8" x14ac:dyDescent="0.3">
      <c r="A515" s="1">
        <v>43065</v>
      </c>
      <c r="B515">
        <v>9330.5498050000006</v>
      </c>
      <c r="C515" s="2">
        <f t="shared" si="42"/>
        <v>6.1384916230386111E-2</v>
      </c>
      <c r="D515">
        <f t="shared" si="45"/>
        <v>8533.4959964000009</v>
      </c>
      <c r="E515">
        <f t="shared" si="46"/>
        <v>1</v>
      </c>
      <c r="F515" s="2">
        <f t="shared" si="47"/>
        <v>6.1384916230386111E-2</v>
      </c>
      <c r="G515" s="2">
        <f t="shared" si="43"/>
        <v>13.796546948780607</v>
      </c>
      <c r="H515" s="2">
        <f t="shared" si="44"/>
        <v>14.795165350068684</v>
      </c>
    </row>
    <row r="516" spans="1:8" x14ac:dyDescent="0.3">
      <c r="A516" s="1">
        <v>43066</v>
      </c>
      <c r="B516">
        <v>9818.3496090000008</v>
      </c>
      <c r="C516" s="2">
        <f t="shared" ref="C516:C579" si="48">B516/B515-1</f>
        <v>5.2279856406596936E-2</v>
      </c>
      <c r="D516">
        <f t="shared" si="45"/>
        <v>8846.4559571999998</v>
      </c>
      <c r="E516">
        <f t="shared" si="46"/>
        <v>1</v>
      </c>
      <c r="F516" s="2">
        <f t="shared" si="47"/>
        <v>5.2279856406596936E-2</v>
      </c>
      <c r="G516" s="2">
        <f t="shared" ref="G516:G579" si="49">(1+C516)*G515</f>
        <v>14.51782844216973</v>
      </c>
      <c r="H516" s="2">
        <f t="shared" ref="H516:H579" si="50">(1+F516)*H515</f>
        <v>15.568654470082134</v>
      </c>
    </row>
    <row r="517" spans="1:8" x14ac:dyDescent="0.3">
      <c r="A517" s="1">
        <v>43067</v>
      </c>
      <c r="B517">
        <v>10058.799805000001</v>
      </c>
      <c r="C517" s="2">
        <f t="shared" si="48"/>
        <v>2.4489879213466903E-2</v>
      </c>
      <c r="D517">
        <f t="shared" si="45"/>
        <v>9250.461914200001</v>
      </c>
      <c r="E517">
        <f t="shared" si="46"/>
        <v>1</v>
      </c>
      <c r="F517" s="2">
        <f t="shared" si="47"/>
        <v>2.4489879213466903E-2</v>
      </c>
      <c r="G517" s="2">
        <f t="shared" si="49"/>
        <v>14.873368307160302</v>
      </c>
      <c r="H517" s="2">
        <f t="shared" si="50"/>
        <v>15.949928937570647</v>
      </c>
    </row>
    <row r="518" spans="1:8" x14ac:dyDescent="0.3">
      <c r="A518" s="1">
        <v>43068</v>
      </c>
      <c r="B518">
        <v>9888.6103519999997</v>
      </c>
      <c r="C518" s="2">
        <f t="shared" si="48"/>
        <v>-1.6919459209776111E-2</v>
      </c>
      <c r="D518">
        <f t="shared" si="45"/>
        <v>9577.4458986000009</v>
      </c>
      <c r="E518">
        <f t="shared" si="46"/>
        <v>1</v>
      </c>
      <c r="F518" s="2">
        <f t="shared" si="47"/>
        <v>-1.6919459209776111E-2</v>
      </c>
      <c r="G518" s="2">
        <f t="shared" si="49"/>
        <v>14.621718958775327</v>
      </c>
      <c r="H518" s="2">
        <f t="shared" si="50"/>
        <v>15.680064765512592</v>
      </c>
    </row>
    <row r="519" spans="1:8" x14ac:dyDescent="0.3">
      <c r="A519" s="1">
        <v>43069</v>
      </c>
      <c r="B519">
        <v>10233.599609000001</v>
      </c>
      <c r="C519" s="2">
        <f t="shared" si="48"/>
        <v>3.4887536743747338E-2</v>
      </c>
      <c r="D519">
        <f t="shared" ref="D519:D582" si="51">AVERAGE(B515:B519)</f>
        <v>9865.9818360000008</v>
      </c>
      <c r="E519">
        <f t="shared" ref="E519:E582" si="52">IF(B519&gt;D519,1,0)</f>
        <v>1</v>
      </c>
      <c r="F519" s="2">
        <f t="shared" si="47"/>
        <v>3.4887536743747338E-2</v>
      </c>
      <c r="G519" s="2">
        <f t="shared" si="49"/>
        <v>15.131834716206349</v>
      </c>
      <c r="H519" s="2">
        <f t="shared" si="50"/>
        <v>16.227103601163751</v>
      </c>
    </row>
    <row r="520" spans="1:8" x14ac:dyDescent="0.3">
      <c r="A520" s="1">
        <v>43070</v>
      </c>
      <c r="B520">
        <v>10975.599609000001</v>
      </c>
      <c r="C520" s="2">
        <f t="shared" si="48"/>
        <v>7.2506256678973813E-2</v>
      </c>
      <c r="D520">
        <f t="shared" si="51"/>
        <v>10194.991796799999</v>
      </c>
      <c r="E520">
        <f t="shared" si="52"/>
        <v>1</v>
      </c>
      <c r="F520" s="2">
        <f t="shared" ref="F520:F583" si="53">E519*C520</f>
        <v>7.2506256678973813E-2</v>
      </c>
      <c r="G520" s="2">
        <f t="shared" si="49"/>
        <v>16.228987408163412</v>
      </c>
      <c r="H520" s="2">
        <f t="shared" si="50"/>
        <v>17.40367014002603</v>
      </c>
    </row>
    <row r="521" spans="1:8" x14ac:dyDescent="0.3">
      <c r="A521" s="1">
        <v>43071</v>
      </c>
      <c r="B521">
        <v>11074.599609000001</v>
      </c>
      <c r="C521" s="2">
        <f t="shared" si="48"/>
        <v>9.0200083391178687E-3</v>
      </c>
      <c r="D521">
        <f t="shared" si="51"/>
        <v>10446.241796799999</v>
      </c>
      <c r="E521">
        <f t="shared" si="52"/>
        <v>1</v>
      </c>
      <c r="F521" s="2">
        <f t="shared" si="53"/>
        <v>9.0200083391178687E-3</v>
      </c>
      <c r="G521" s="2">
        <f t="shared" si="49"/>
        <v>16.375373009920484</v>
      </c>
      <c r="H521" s="2">
        <f t="shared" si="50"/>
        <v>17.560651389820322</v>
      </c>
    </row>
    <row r="522" spans="1:8" x14ac:dyDescent="0.3">
      <c r="A522" s="1">
        <v>43072</v>
      </c>
      <c r="B522">
        <v>11323.200194999999</v>
      </c>
      <c r="C522" s="2">
        <f t="shared" si="48"/>
        <v>2.2447817056787223E-2</v>
      </c>
      <c r="D522">
        <f t="shared" si="51"/>
        <v>10699.121874799999</v>
      </c>
      <c r="E522">
        <f t="shared" si="52"/>
        <v>1</v>
      </c>
      <c r="F522" s="2">
        <f t="shared" si="53"/>
        <v>2.2447817056787223E-2</v>
      </c>
      <c r="G522" s="2">
        <f t="shared" si="49"/>
        <v>16.742964387483831</v>
      </c>
      <c r="H522" s="2">
        <f t="shared" si="50"/>
        <v>17.954849679617023</v>
      </c>
    </row>
    <row r="523" spans="1:8" x14ac:dyDescent="0.3">
      <c r="A523" s="1">
        <v>43073</v>
      </c>
      <c r="B523">
        <v>11657.200194999999</v>
      </c>
      <c r="C523" s="2">
        <f t="shared" si="48"/>
        <v>2.9496961481568107E-2</v>
      </c>
      <c r="D523">
        <f t="shared" si="51"/>
        <v>11052.839843400001</v>
      </c>
      <c r="E523">
        <f t="shared" si="52"/>
        <v>1</v>
      </c>
      <c r="F523" s="2">
        <f t="shared" si="53"/>
        <v>2.9496961481568107E-2</v>
      </c>
      <c r="G523" s="2">
        <f t="shared" si="49"/>
        <v>17.236830963108709</v>
      </c>
      <c r="H523" s="2">
        <f t="shared" si="50"/>
        <v>18.484463189024034</v>
      </c>
    </row>
    <row r="524" spans="1:8" x14ac:dyDescent="0.3">
      <c r="A524" s="1">
        <v>43074</v>
      </c>
      <c r="B524">
        <v>11916.700194999999</v>
      </c>
      <c r="C524" s="2">
        <f t="shared" si="48"/>
        <v>2.2260919917228783E-2</v>
      </c>
      <c r="D524">
        <f t="shared" si="51"/>
        <v>11389.459960599999</v>
      </c>
      <c r="E524">
        <f t="shared" si="52"/>
        <v>1</v>
      </c>
      <c r="F524" s="2">
        <f t="shared" si="53"/>
        <v>2.2260919917228783E-2</v>
      </c>
      <c r="G524" s="2">
        <f t="shared" si="49"/>
        <v>17.620538676805282</v>
      </c>
      <c r="H524" s="2">
        <f t="shared" si="50"/>
        <v>18.89594434378786</v>
      </c>
    </row>
    <row r="525" spans="1:8" x14ac:dyDescent="0.3">
      <c r="A525" s="1">
        <v>43075</v>
      </c>
      <c r="B525">
        <v>14291.5</v>
      </c>
      <c r="C525" s="2">
        <f t="shared" si="48"/>
        <v>0.19928333902336637</v>
      </c>
      <c r="D525">
        <f t="shared" si="51"/>
        <v>12052.6400388</v>
      </c>
      <c r="E525">
        <f t="shared" si="52"/>
        <v>1</v>
      </c>
      <c r="F525" s="2">
        <f t="shared" si="53"/>
        <v>0.19928333902336637</v>
      </c>
      <c r="G525" s="2">
        <f t="shared" si="49"/>
        <v>21.132018459709407</v>
      </c>
      <c r="H525" s="2">
        <f t="shared" si="50"/>
        <v>22.661591226617599</v>
      </c>
    </row>
    <row r="526" spans="1:8" x14ac:dyDescent="0.3">
      <c r="A526" s="1">
        <v>43076</v>
      </c>
      <c r="B526">
        <v>17899.699218999998</v>
      </c>
      <c r="C526" s="2">
        <f t="shared" si="48"/>
        <v>0.25247169429381078</v>
      </c>
      <c r="D526">
        <f t="shared" si="51"/>
        <v>13417.6599608</v>
      </c>
      <c r="E526">
        <f t="shared" si="52"/>
        <v>1</v>
      </c>
      <c r="F526" s="2">
        <f t="shared" si="53"/>
        <v>0.25247169429381078</v>
      </c>
      <c r="G526" s="2">
        <f t="shared" si="49"/>
        <v>26.467254964080325</v>
      </c>
      <c r="H526" s="2">
        <f t="shared" si="50"/>
        <v>28.383001558995502</v>
      </c>
    </row>
    <row r="527" spans="1:8" x14ac:dyDescent="0.3">
      <c r="A527" s="1">
        <v>43077</v>
      </c>
      <c r="B527">
        <v>16569.400390999999</v>
      </c>
      <c r="C527" s="2">
        <f t="shared" si="48"/>
        <v>-7.431961910219842E-2</v>
      </c>
      <c r="D527">
        <f t="shared" si="51"/>
        <v>14466.9</v>
      </c>
      <c r="E527">
        <f t="shared" si="52"/>
        <v>1</v>
      </c>
      <c r="F527" s="2">
        <f t="shared" si="53"/>
        <v>-7.431961910219842E-2</v>
      </c>
      <c r="G527" s="2">
        <f t="shared" si="49"/>
        <v>24.500218656469105</v>
      </c>
      <c r="H527" s="2">
        <f t="shared" si="50"/>
        <v>26.273587694153854</v>
      </c>
    </row>
    <row r="528" spans="1:8" x14ac:dyDescent="0.3">
      <c r="A528" s="1">
        <v>43078</v>
      </c>
      <c r="B528">
        <v>15178.200194999999</v>
      </c>
      <c r="C528" s="2">
        <f t="shared" si="48"/>
        <v>-8.3962012092824945E-2</v>
      </c>
      <c r="D528">
        <f t="shared" si="51"/>
        <v>15171.1</v>
      </c>
      <c r="E528">
        <f t="shared" si="52"/>
        <v>1</v>
      </c>
      <c r="F528" s="2">
        <f t="shared" si="53"/>
        <v>-8.3962012092824945E-2</v>
      </c>
      <c r="G528" s="2">
        <f t="shared" si="49"/>
        <v>22.443131001357791</v>
      </c>
      <c r="H528" s="2">
        <f t="shared" si="50"/>
        <v>24.067604406455413</v>
      </c>
    </row>
    <row r="529" spans="1:8" x14ac:dyDescent="0.3">
      <c r="A529" s="1">
        <v>43079</v>
      </c>
      <c r="B529">
        <v>15455.400390999999</v>
      </c>
      <c r="C529" s="2">
        <f t="shared" si="48"/>
        <v>1.8263047821132083E-2</v>
      </c>
      <c r="D529">
        <f t="shared" si="51"/>
        <v>15878.840039199999</v>
      </c>
      <c r="E529">
        <f t="shared" si="52"/>
        <v>0</v>
      </c>
      <c r="F529" s="2">
        <f t="shared" si="53"/>
        <v>1.8263047821132083E-2</v>
      </c>
      <c r="G529" s="2">
        <f t="shared" si="49"/>
        <v>22.853010976091522</v>
      </c>
      <c r="H529" s="2">
        <f t="shared" si="50"/>
        <v>24.507152216670598</v>
      </c>
    </row>
    <row r="530" spans="1:8" x14ac:dyDescent="0.3">
      <c r="A530" s="1">
        <v>43080</v>
      </c>
      <c r="B530">
        <v>16936.800781000002</v>
      </c>
      <c r="C530" s="2">
        <f t="shared" si="48"/>
        <v>9.5850016985820297E-2</v>
      </c>
      <c r="D530">
        <f t="shared" si="51"/>
        <v>16407.900195399998</v>
      </c>
      <c r="E530">
        <f t="shared" si="52"/>
        <v>1</v>
      </c>
      <c r="F530" s="2">
        <f t="shared" si="53"/>
        <v>0</v>
      </c>
      <c r="G530" s="2">
        <f t="shared" si="49"/>
        <v>25.043472466327032</v>
      </c>
      <c r="H530" s="2">
        <f t="shared" si="50"/>
        <v>24.507152216670598</v>
      </c>
    </row>
    <row r="531" spans="1:8" x14ac:dyDescent="0.3">
      <c r="A531" s="1">
        <v>43081</v>
      </c>
      <c r="B531">
        <v>17415.400390999999</v>
      </c>
      <c r="C531" s="2">
        <f t="shared" si="48"/>
        <v>2.8257970096507101E-2</v>
      </c>
      <c r="D531">
        <f t="shared" si="51"/>
        <v>16311.040429800001</v>
      </c>
      <c r="E531">
        <f t="shared" si="52"/>
        <v>1</v>
      </c>
      <c r="F531" s="2">
        <f t="shared" si="53"/>
        <v>2.8257970096507101E-2</v>
      </c>
      <c r="G531" s="2">
        <f t="shared" si="49"/>
        <v>25.751150162393198</v>
      </c>
      <c r="H531" s="2">
        <f t="shared" si="50"/>
        <v>25.199674591159823</v>
      </c>
    </row>
    <row r="532" spans="1:8" x14ac:dyDescent="0.3">
      <c r="A532" s="1">
        <v>43082</v>
      </c>
      <c r="B532">
        <v>16408.199218999998</v>
      </c>
      <c r="C532" s="2">
        <f t="shared" si="48"/>
        <v>-5.7833937169799787E-2</v>
      </c>
      <c r="D532">
        <f t="shared" si="51"/>
        <v>16278.800195400001</v>
      </c>
      <c r="E532">
        <f t="shared" si="52"/>
        <v>1</v>
      </c>
      <c r="F532" s="2">
        <f t="shared" si="53"/>
        <v>-5.7833937169799787E-2</v>
      </c>
      <c r="G532" s="2">
        <f t="shared" si="49"/>
        <v>24.261859761851269</v>
      </c>
      <c r="H532" s="2">
        <f t="shared" si="50"/>
        <v>23.742278194155286</v>
      </c>
    </row>
    <row r="533" spans="1:8" x14ac:dyDescent="0.3">
      <c r="A533" s="1">
        <v>43083</v>
      </c>
      <c r="B533">
        <v>16564</v>
      </c>
      <c r="C533" s="2">
        <f t="shared" si="48"/>
        <v>9.4953004239239913E-3</v>
      </c>
      <c r="D533">
        <f t="shared" si="51"/>
        <v>16555.9601564</v>
      </c>
      <c r="E533">
        <f t="shared" si="52"/>
        <v>1</v>
      </c>
      <c r="F533" s="2">
        <f t="shared" si="53"/>
        <v>9.4953004239239913E-3</v>
      </c>
      <c r="G533" s="2">
        <f t="shared" si="49"/>
        <v>24.49223340913316</v>
      </c>
      <c r="H533" s="2">
        <f t="shared" si="50"/>
        <v>23.96771825835717</v>
      </c>
    </row>
    <row r="534" spans="1:8" x14ac:dyDescent="0.3">
      <c r="A534" s="1">
        <v>43084</v>
      </c>
      <c r="B534">
        <v>17706.900390999999</v>
      </c>
      <c r="C534" s="2">
        <f t="shared" si="48"/>
        <v>6.8999057655155793E-2</v>
      </c>
      <c r="D534">
        <f t="shared" si="51"/>
        <v>17006.2601564</v>
      </c>
      <c r="E534">
        <f t="shared" si="52"/>
        <v>1</v>
      </c>
      <c r="F534" s="2">
        <f t="shared" si="53"/>
        <v>6.8999057655155793E-2</v>
      </c>
      <c r="G534" s="2">
        <f t="shared" si="49"/>
        <v>26.18217443423347</v>
      </c>
      <c r="H534" s="2">
        <f t="shared" si="50"/>
        <v>25.621468232328088</v>
      </c>
    </row>
    <row r="535" spans="1:8" x14ac:dyDescent="0.3">
      <c r="A535" s="1">
        <v>43085</v>
      </c>
      <c r="B535">
        <v>19497.400390999999</v>
      </c>
      <c r="C535" s="2">
        <f t="shared" si="48"/>
        <v>0.10111877067485331</v>
      </c>
      <c r="D535">
        <f t="shared" si="51"/>
        <v>17518.380078399998</v>
      </c>
      <c r="E535">
        <f t="shared" si="52"/>
        <v>1</v>
      </c>
      <c r="F535" s="2">
        <f t="shared" si="53"/>
        <v>0.10111877067485331</v>
      </c>
      <c r="G535" s="2">
        <f t="shared" si="49"/>
        <v>28.829683726617731</v>
      </c>
      <c r="H535" s="2">
        <f t="shared" si="50"/>
        <v>28.212279602865909</v>
      </c>
    </row>
    <row r="536" spans="1:8" x14ac:dyDescent="0.3">
      <c r="A536" s="1">
        <v>43086</v>
      </c>
      <c r="B536">
        <v>19140.800781000002</v>
      </c>
      <c r="C536" s="2">
        <f t="shared" si="48"/>
        <v>-1.82895977334806E-2</v>
      </c>
      <c r="D536">
        <f t="shared" si="51"/>
        <v>17863.4601564</v>
      </c>
      <c r="E536">
        <f t="shared" si="52"/>
        <v>1</v>
      </c>
      <c r="F536" s="2">
        <f t="shared" si="53"/>
        <v>-1.82895977334806E-2</v>
      </c>
      <c r="G536" s="2">
        <f t="shared" si="49"/>
        <v>28.302400408474419</v>
      </c>
      <c r="H536" s="2">
        <f t="shared" si="50"/>
        <v>27.696288357785011</v>
      </c>
    </row>
    <row r="537" spans="1:8" x14ac:dyDescent="0.3">
      <c r="A537" s="1">
        <v>43087</v>
      </c>
      <c r="B537">
        <v>19114.199218999998</v>
      </c>
      <c r="C537" s="2">
        <f t="shared" si="48"/>
        <v>-1.3897831289487739E-3</v>
      </c>
      <c r="D537">
        <f t="shared" si="51"/>
        <v>18404.660156400001</v>
      </c>
      <c r="E537">
        <f t="shared" si="52"/>
        <v>1</v>
      </c>
      <c r="F537" s="2">
        <f t="shared" si="53"/>
        <v>-1.3897831289487739E-3</v>
      </c>
      <c r="G537" s="2">
        <f t="shared" si="49"/>
        <v>28.263066209877969</v>
      </c>
      <c r="H537" s="2">
        <f t="shared" si="50"/>
        <v>27.657796523490862</v>
      </c>
    </row>
    <row r="538" spans="1:8" x14ac:dyDescent="0.3">
      <c r="A538" s="1">
        <v>43088</v>
      </c>
      <c r="B538">
        <v>17776.699218999998</v>
      </c>
      <c r="C538" s="2">
        <f t="shared" si="48"/>
        <v>-6.9974158199130332E-2</v>
      </c>
      <c r="D538">
        <f t="shared" si="51"/>
        <v>18647.200000200002</v>
      </c>
      <c r="E538">
        <f t="shared" si="52"/>
        <v>0</v>
      </c>
      <c r="F538" s="2">
        <f t="shared" si="53"/>
        <v>-6.9974158199130332E-2</v>
      </c>
      <c r="G538" s="2">
        <f t="shared" si="49"/>
        <v>26.285381943715475</v>
      </c>
      <c r="H538" s="2">
        <f t="shared" si="50"/>
        <v>25.722465494116754</v>
      </c>
    </row>
    <row r="539" spans="1:8" x14ac:dyDescent="0.3">
      <c r="A539" s="1">
        <v>43089</v>
      </c>
      <c r="B539">
        <v>16624.599609000001</v>
      </c>
      <c r="C539" s="2">
        <f t="shared" si="48"/>
        <v>-6.480953498772235E-2</v>
      </c>
      <c r="D539">
        <f t="shared" si="51"/>
        <v>18430.739843800002</v>
      </c>
      <c r="E539">
        <f t="shared" si="52"/>
        <v>0</v>
      </c>
      <c r="F539" s="2">
        <f t="shared" si="53"/>
        <v>0</v>
      </c>
      <c r="G539" s="2">
        <f t="shared" si="49"/>
        <v>24.581838562968603</v>
      </c>
      <c r="H539" s="2">
        <f t="shared" si="50"/>
        <v>25.722465494116754</v>
      </c>
    </row>
    <row r="540" spans="1:8" x14ac:dyDescent="0.3">
      <c r="A540" s="1">
        <v>43090</v>
      </c>
      <c r="B540">
        <v>15802.900390999999</v>
      </c>
      <c r="C540" s="2">
        <f t="shared" si="48"/>
        <v>-4.9426707248646173E-2</v>
      </c>
      <c r="D540">
        <f t="shared" si="51"/>
        <v>17691.8398438</v>
      </c>
      <c r="E540">
        <f t="shared" si="52"/>
        <v>0</v>
      </c>
      <c r="F540" s="2">
        <f t="shared" si="53"/>
        <v>0</v>
      </c>
      <c r="G540" s="2">
        <f t="shared" si="49"/>
        <v>23.366839224683272</v>
      </c>
      <c r="H540" s="2">
        <f t="shared" si="50"/>
        <v>25.722465494116754</v>
      </c>
    </row>
    <row r="541" spans="1:8" x14ac:dyDescent="0.3">
      <c r="A541" s="1">
        <v>43091</v>
      </c>
      <c r="B541">
        <v>13831.799805000001</v>
      </c>
      <c r="C541" s="2">
        <f t="shared" si="48"/>
        <v>-0.12473030502189153</v>
      </c>
      <c r="D541">
        <f t="shared" si="51"/>
        <v>16630.039648600003</v>
      </c>
      <c r="E541">
        <f t="shared" si="52"/>
        <v>0</v>
      </c>
      <c r="F541" s="2">
        <f t="shared" si="53"/>
        <v>0</v>
      </c>
      <c r="G541" s="2">
        <f t="shared" si="49"/>
        <v>20.452286240791029</v>
      </c>
      <c r="H541" s="2">
        <f t="shared" si="50"/>
        <v>25.722465494116754</v>
      </c>
    </row>
    <row r="542" spans="1:8" x14ac:dyDescent="0.3">
      <c r="A542" s="1">
        <v>43092</v>
      </c>
      <c r="B542">
        <v>14699.200194999999</v>
      </c>
      <c r="C542" s="2">
        <f t="shared" si="48"/>
        <v>6.2710594588452961E-2</v>
      </c>
      <c r="D542">
        <f t="shared" si="51"/>
        <v>15747.039843800001</v>
      </c>
      <c r="E542">
        <f t="shared" si="52"/>
        <v>0</v>
      </c>
      <c r="F542" s="2">
        <f t="shared" si="53"/>
        <v>0</v>
      </c>
      <c r="G542" s="2">
        <f t="shared" si="49"/>
        <v>21.73486127164427</v>
      </c>
      <c r="H542" s="2">
        <f t="shared" si="50"/>
        <v>25.722465494116754</v>
      </c>
    </row>
    <row r="543" spans="1:8" x14ac:dyDescent="0.3">
      <c r="A543" s="1">
        <v>43093</v>
      </c>
      <c r="B543">
        <v>13925.799805000001</v>
      </c>
      <c r="C543" s="2">
        <f t="shared" si="48"/>
        <v>-5.2615134139276099E-2</v>
      </c>
      <c r="D543">
        <f t="shared" si="51"/>
        <v>14976.859961</v>
      </c>
      <c r="E543">
        <f t="shared" si="52"/>
        <v>0</v>
      </c>
      <c r="F543" s="2">
        <f t="shared" si="53"/>
        <v>0</v>
      </c>
      <c r="G543" s="2">
        <f t="shared" si="49"/>
        <v>20.591278630338149</v>
      </c>
      <c r="H543" s="2">
        <f t="shared" si="50"/>
        <v>25.722465494116754</v>
      </c>
    </row>
    <row r="544" spans="1:8" x14ac:dyDescent="0.3">
      <c r="A544" s="1">
        <v>43094</v>
      </c>
      <c r="B544">
        <v>14026.599609000001</v>
      </c>
      <c r="C544" s="2">
        <f t="shared" si="48"/>
        <v>7.2383493523875408E-3</v>
      </c>
      <c r="D544">
        <f t="shared" si="51"/>
        <v>14457.259961</v>
      </c>
      <c r="E544">
        <f t="shared" si="52"/>
        <v>0</v>
      </c>
      <c r="F544" s="2">
        <f t="shared" si="53"/>
        <v>0</v>
      </c>
      <c r="G544" s="2">
        <f t="shared" si="49"/>
        <v>20.740325498676889</v>
      </c>
      <c r="H544" s="2">
        <f t="shared" si="50"/>
        <v>25.722465494116754</v>
      </c>
    </row>
    <row r="545" spans="1:8" x14ac:dyDescent="0.3">
      <c r="A545" s="1">
        <v>43095</v>
      </c>
      <c r="B545">
        <v>16099.799805000001</v>
      </c>
      <c r="C545" s="2">
        <f t="shared" si="48"/>
        <v>0.14780490309780814</v>
      </c>
      <c r="D545">
        <f t="shared" si="51"/>
        <v>14516.6398438</v>
      </c>
      <c r="E545">
        <f t="shared" si="52"/>
        <v>1</v>
      </c>
      <c r="F545" s="2">
        <f t="shared" si="53"/>
        <v>0</v>
      </c>
      <c r="G545" s="2">
        <f t="shared" si="49"/>
        <v>23.805847299225825</v>
      </c>
      <c r="H545" s="2">
        <f t="shared" si="50"/>
        <v>25.722465494116754</v>
      </c>
    </row>
    <row r="546" spans="1:8" x14ac:dyDescent="0.3">
      <c r="A546" s="1">
        <v>43096</v>
      </c>
      <c r="B546">
        <v>15838.5</v>
      </c>
      <c r="C546" s="2">
        <f t="shared" si="48"/>
        <v>-1.6230003364318235E-2</v>
      </c>
      <c r="D546">
        <f t="shared" si="51"/>
        <v>14917.9798828</v>
      </c>
      <c r="E546">
        <f t="shared" si="52"/>
        <v>1</v>
      </c>
      <c r="F546" s="2">
        <f t="shared" si="53"/>
        <v>-1.6230003364318235E-2</v>
      </c>
      <c r="G546" s="2">
        <f t="shared" si="49"/>
        <v>23.419478317468943</v>
      </c>
      <c r="H546" s="2">
        <f t="shared" si="50"/>
        <v>25.30498979260868</v>
      </c>
    </row>
    <row r="547" spans="1:8" x14ac:dyDescent="0.3">
      <c r="A547" s="1">
        <v>43097</v>
      </c>
      <c r="B547">
        <v>14606.5</v>
      </c>
      <c r="C547" s="2">
        <f t="shared" si="48"/>
        <v>-7.7785143795182643E-2</v>
      </c>
      <c r="D547">
        <f t="shared" si="51"/>
        <v>14899.439843800001</v>
      </c>
      <c r="E547">
        <f t="shared" si="52"/>
        <v>0</v>
      </c>
      <c r="F547" s="2">
        <f t="shared" si="53"/>
        <v>-7.7785143795182643E-2</v>
      </c>
      <c r="G547" s="2">
        <f t="shared" si="49"/>
        <v>21.597790828936461</v>
      </c>
      <c r="H547" s="2">
        <f t="shared" si="50"/>
        <v>23.336637522854986</v>
      </c>
    </row>
    <row r="548" spans="1:8" x14ac:dyDescent="0.3">
      <c r="A548" s="1">
        <v>43098</v>
      </c>
      <c r="B548">
        <v>14656.200194999999</v>
      </c>
      <c r="C548" s="2">
        <f t="shared" si="48"/>
        <v>3.4026080854414609E-3</v>
      </c>
      <c r="D548">
        <f t="shared" si="51"/>
        <v>15045.5199218</v>
      </c>
      <c r="E548">
        <f t="shared" si="52"/>
        <v>0</v>
      </c>
      <c r="F548" s="2">
        <f t="shared" si="53"/>
        <v>0</v>
      </c>
      <c r="G548" s="2">
        <f t="shared" si="49"/>
        <v>21.671279646638673</v>
      </c>
      <c r="H548" s="2">
        <f t="shared" si="50"/>
        <v>23.336637522854986</v>
      </c>
    </row>
    <row r="549" spans="1:8" x14ac:dyDescent="0.3">
      <c r="A549" s="1">
        <v>43099</v>
      </c>
      <c r="B549">
        <v>12952.200194999999</v>
      </c>
      <c r="C549" s="2">
        <f t="shared" si="48"/>
        <v>-0.11626478741613555</v>
      </c>
      <c r="D549">
        <f t="shared" si="51"/>
        <v>14830.640039</v>
      </c>
      <c r="E549">
        <f t="shared" si="52"/>
        <v>0</v>
      </c>
      <c r="F549" s="2">
        <f t="shared" si="53"/>
        <v>0</v>
      </c>
      <c r="G549" s="2">
        <f t="shared" si="49"/>
        <v>19.151672925486604</v>
      </c>
      <c r="H549" s="2">
        <f t="shared" si="50"/>
        <v>23.336637522854986</v>
      </c>
    </row>
    <row r="550" spans="1:8" x14ac:dyDescent="0.3">
      <c r="A550" s="1">
        <v>43100</v>
      </c>
      <c r="B550">
        <v>14156.400390999999</v>
      </c>
      <c r="C550" s="2">
        <f t="shared" si="48"/>
        <v>9.2972636144464715E-2</v>
      </c>
      <c r="D550">
        <f t="shared" si="51"/>
        <v>14441.960156199999</v>
      </c>
      <c r="E550">
        <f t="shared" si="52"/>
        <v>0</v>
      </c>
      <c r="F550" s="2">
        <f t="shared" si="53"/>
        <v>0</v>
      </c>
      <c r="G550" s="2">
        <f t="shared" si="49"/>
        <v>20.932254443945666</v>
      </c>
      <c r="H550" s="2">
        <f t="shared" si="50"/>
        <v>23.336637522854986</v>
      </c>
    </row>
    <row r="551" spans="1:8" x14ac:dyDescent="0.3">
      <c r="A551" s="1">
        <v>43101</v>
      </c>
      <c r="B551">
        <v>13657.200194999999</v>
      </c>
      <c r="C551" s="2">
        <f t="shared" si="48"/>
        <v>-3.5263215380469837E-2</v>
      </c>
      <c r="D551">
        <f t="shared" si="51"/>
        <v>14005.700195199999</v>
      </c>
      <c r="E551">
        <f t="shared" si="52"/>
        <v>0</v>
      </c>
      <c r="F551" s="2">
        <f t="shared" si="53"/>
        <v>0</v>
      </c>
      <c r="G551" s="2">
        <f t="shared" si="49"/>
        <v>20.194115847090014</v>
      </c>
      <c r="H551" s="2">
        <f t="shared" si="50"/>
        <v>23.336637522854986</v>
      </c>
    </row>
    <row r="552" spans="1:8" x14ac:dyDescent="0.3">
      <c r="A552" s="1">
        <v>43102</v>
      </c>
      <c r="B552">
        <v>14982.099609000001</v>
      </c>
      <c r="C552" s="2">
        <f t="shared" si="48"/>
        <v>9.7011056079053137E-2</v>
      </c>
      <c r="D552">
        <f t="shared" si="51"/>
        <v>14080.820116999999</v>
      </c>
      <c r="E552">
        <f t="shared" si="52"/>
        <v>1</v>
      </c>
      <c r="F552" s="2">
        <f t="shared" si="53"/>
        <v>0</v>
      </c>
      <c r="G552" s="2">
        <f t="shared" si="49"/>
        <v>22.153168351998961</v>
      </c>
      <c r="H552" s="2">
        <f t="shared" si="50"/>
        <v>23.336637522854986</v>
      </c>
    </row>
    <row r="553" spans="1:8" x14ac:dyDescent="0.3">
      <c r="A553" s="1">
        <v>43103</v>
      </c>
      <c r="B553">
        <v>15201</v>
      </c>
      <c r="C553" s="2">
        <f t="shared" si="48"/>
        <v>1.4610795329948356E-2</v>
      </c>
      <c r="D553">
        <f t="shared" si="51"/>
        <v>14189.780078</v>
      </c>
      <c r="E553">
        <f t="shared" si="52"/>
        <v>1</v>
      </c>
      <c r="F553" s="2">
        <f t="shared" si="53"/>
        <v>1.4610795329948356E-2</v>
      </c>
      <c r="G553" s="2">
        <f t="shared" si="49"/>
        <v>22.476843760699907</v>
      </c>
      <c r="H553" s="2">
        <f t="shared" si="50"/>
        <v>23.677604357390614</v>
      </c>
    </row>
    <row r="554" spans="1:8" x14ac:dyDescent="0.3">
      <c r="A554" s="1">
        <v>43104</v>
      </c>
      <c r="B554">
        <v>15599.200194999999</v>
      </c>
      <c r="C554" s="2">
        <f t="shared" si="48"/>
        <v>2.6195657851457055E-2</v>
      </c>
      <c r="D554">
        <f t="shared" si="51"/>
        <v>14719.180077999999</v>
      </c>
      <c r="E554">
        <f t="shared" si="52"/>
        <v>1</v>
      </c>
      <c r="F554" s="2">
        <f t="shared" si="53"/>
        <v>2.6195657851457055E-2</v>
      </c>
      <c r="G554" s="2">
        <f t="shared" si="49"/>
        <v>23.065639469435858</v>
      </c>
      <c r="H554" s="2">
        <f t="shared" si="50"/>
        <v>24.297854779878985</v>
      </c>
    </row>
    <row r="555" spans="1:8" x14ac:dyDescent="0.3">
      <c r="A555" s="1">
        <v>43105</v>
      </c>
      <c r="B555">
        <v>17429.5</v>
      </c>
      <c r="C555" s="2">
        <f t="shared" si="48"/>
        <v>0.11733292618339908</v>
      </c>
      <c r="D555">
        <f t="shared" si="51"/>
        <v>15373.799999799998</v>
      </c>
      <c r="E555">
        <f t="shared" si="52"/>
        <v>1</v>
      </c>
      <c r="F555" s="2">
        <f t="shared" si="53"/>
        <v>0.11733292618339908</v>
      </c>
      <c r="G555" s="2">
        <f t="shared" si="49"/>
        <v>25.771998442676072</v>
      </c>
      <c r="H555" s="2">
        <f t="shared" si="50"/>
        <v>27.148793181181478</v>
      </c>
    </row>
    <row r="556" spans="1:8" x14ac:dyDescent="0.3">
      <c r="A556" s="1">
        <v>43106</v>
      </c>
      <c r="B556">
        <v>17527</v>
      </c>
      <c r="C556" s="2">
        <f t="shared" si="48"/>
        <v>5.5939642560027814E-3</v>
      </c>
      <c r="D556">
        <f t="shared" si="51"/>
        <v>16147.759960800002</v>
      </c>
      <c r="E556">
        <f t="shared" si="52"/>
        <v>1</v>
      </c>
      <c r="F556" s="2">
        <f t="shared" si="53"/>
        <v>5.5939642560027814E-3</v>
      </c>
      <c r="G556" s="2">
        <f t="shared" si="49"/>
        <v>25.916166080770161</v>
      </c>
      <c r="H556" s="2">
        <f t="shared" si="50"/>
        <v>27.30066255983062</v>
      </c>
    </row>
    <row r="557" spans="1:8" x14ac:dyDescent="0.3">
      <c r="A557" s="1">
        <v>43107</v>
      </c>
      <c r="B557">
        <v>16477.599609000001</v>
      </c>
      <c r="C557" s="2">
        <f t="shared" si="48"/>
        <v>-5.9873360586523594E-2</v>
      </c>
      <c r="D557">
        <f t="shared" si="51"/>
        <v>16446.8599608</v>
      </c>
      <c r="E557">
        <f t="shared" si="52"/>
        <v>1</v>
      </c>
      <c r="F557" s="2">
        <f t="shared" si="53"/>
        <v>-5.9873360586523594E-2</v>
      </c>
      <c r="G557" s="2">
        <f t="shared" si="49"/>
        <v>24.364478123995976</v>
      </c>
      <c r="H557" s="2">
        <f t="shared" si="50"/>
        <v>25.666080146134878</v>
      </c>
    </row>
    <row r="558" spans="1:8" x14ac:dyDescent="0.3">
      <c r="A558" s="1">
        <v>43108</v>
      </c>
      <c r="B558">
        <v>15170.099609000001</v>
      </c>
      <c r="C558" s="2">
        <f t="shared" si="48"/>
        <v>-7.9350149962731709E-2</v>
      </c>
      <c r="D558">
        <f t="shared" si="51"/>
        <v>16440.679882599998</v>
      </c>
      <c r="E558">
        <f t="shared" si="52"/>
        <v>0</v>
      </c>
      <c r="F558" s="2">
        <f t="shared" si="53"/>
        <v>-7.9350149962731709E-2</v>
      </c>
      <c r="G558" s="2">
        <f t="shared" si="49"/>
        <v>22.4311531310932</v>
      </c>
      <c r="H558" s="2">
        <f t="shared" si="50"/>
        <v>23.629472837583585</v>
      </c>
    </row>
    <row r="559" spans="1:8" x14ac:dyDescent="0.3">
      <c r="A559" s="1">
        <v>43109</v>
      </c>
      <c r="B559">
        <v>14595.400390999999</v>
      </c>
      <c r="C559" s="2">
        <f t="shared" si="48"/>
        <v>-3.788368124221464E-2</v>
      </c>
      <c r="D559">
        <f t="shared" si="51"/>
        <v>16239.919921799999</v>
      </c>
      <c r="E559">
        <f t="shared" si="52"/>
        <v>0</v>
      </c>
      <c r="F559" s="2">
        <f t="shared" si="53"/>
        <v>0</v>
      </c>
      <c r="G559" s="2">
        <f t="shared" si="49"/>
        <v>21.581378475979562</v>
      </c>
      <c r="H559" s="2">
        <f t="shared" si="50"/>
        <v>23.629472837583585</v>
      </c>
    </row>
    <row r="560" spans="1:8" x14ac:dyDescent="0.3">
      <c r="A560" s="1">
        <v>43110</v>
      </c>
      <c r="B560">
        <v>14973.299805000001</v>
      </c>
      <c r="C560" s="2">
        <f t="shared" si="48"/>
        <v>2.589167846556828E-2</v>
      </c>
      <c r="D560">
        <f t="shared" si="51"/>
        <v>15748.679882799999</v>
      </c>
      <c r="E560">
        <f t="shared" si="52"/>
        <v>0</v>
      </c>
      <c r="F560" s="2">
        <f t="shared" si="53"/>
        <v>0</v>
      </c>
      <c r="G560" s="2">
        <f t="shared" si="49"/>
        <v>22.140156588323361</v>
      </c>
      <c r="H560" s="2">
        <f t="shared" si="50"/>
        <v>23.629472837583585</v>
      </c>
    </row>
    <row r="561" spans="1:8" x14ac:dyDescent="0.3">
      <c r="A561" s="1">
        <v>43111</v>
      </c>
      <c r="B561">
        <v>13405.799805000001</v>
      </c>
      <c r="C561" s="2">
        <f t="shared" si="48"/>
        <v>-0.10468634305155422</v>
      </c>
      <c r="D561">
        <f t="shared" si="51"/>
        <v>14924.439843800001</v>
      </c>
      <c r="E561">
        <f t="shared" si="52"/>
        <v>0</v>
      </c>
      <c r="F561" s="2">
        <f t="shared" si="53"/>
        <v>0</v>
      </c>
      <c r="G561" s="2">
        <f t="shared" si="49"/>
        <v>19.822384560503014</v>
      </c>
      <c r="H561" s="2">
        <f t="shared" si="50"/>
        <v>23.629472837583585</v>
      </c>
    </row>
    <row r="562" spans="1:8" x14ac:dyDescent="0.3">
      <c r="A562" s="1">
        <v>43112</v>
      </c>
      <c r="B562">
        <v>13980.599609000001</v>
      </c>
      <c r="C562" s="2">
        <f t="shared" si="48"/>
        <v>4.2876949705426437E-2</v>
      </c>
      <c r="D562">
        <f t="shared" si="51"/>
        <v>14425.039843800001</v>
      </c>
      <c r="E562">
        <f t="shared" si="52"/>
        <v>0</v>
      </c>
      <c r="F562" s="2">
        <f t="shared" si="53"/>
        <v>0</v>
      </c>
      <c r="G562" s="2">
        <f t="shared" si="49"/>
        <v>20.672307946345324</v>
      </c>
      <c r="H562" s="2">
        <f t="shared" si="50"/>
        <v>23.629472837583585</v>
      </c>
    </row>
    <row r="563" spans="1:8" x14ac:dyDescent="0.3">
      <c r="A563" s="1">
        <v>43113</v>
      </c>
      <c r="B563">
        <v>14360.200194999999</v>
      </c>
      <c r="C563" s="2">
        <f t="shared" si="48"/>
        <v>2.7151953179149091E-2</v>
      </c>
      <c r="D563">
        <f t="shared" si="51"/>
        <v>14263.059961000001</v>
      </c>
      <c r="E563">
        <f t="shared" si="52"/>
        <v>1</v>
      </c>
      <c r="F563" s="2">
        <f t="shared" si="53"/>
        <v>0</v>
      </c>
      <c r="G563" s="2">
        <f t="shared" si="49"/>
        <v>21.233601483809444</v>
      </c>
      <c r="H563" s="2">
        <f t="shared" si="50"/>
        <v>23.629472837583585</v>
      </c>
    </row>
    <row r="564" spans="1:8" x14ac:dyDescent="0.3">
      <c r="A564" s="1">
        <v>43114</v>
      </c>
      <c r="B564">
        <v>13772</v>
      </c>
      <c r="C564" s="2">
        <f t="shared" si="48"/>
        <v>-4.0960445328944717E-2</v>
      </c>
      <c r="D564">
        <f t="shared" si="51"/>
        <v>14098.3798828</v>
      </c>
      <c r="E564">
        <f t="shared" si="52"/>
        <v>0</v>
      </c>
      <c r="F564" s="2">
        <f t="shared" si="53"/>
        <v>-4.0960445328944717E-2</v>
      </c>
      <c r="G564" s="2">
        <f t="shared" si="49"/>
        <v>20.363863711095266</v>
      </c>
      <c r="H564" s="2">
        <f t="shared" si="50"/>
        <v>22.661599107267957</v>
      </c>
    </row>
    <row r="565" spans="1:8" x14ac:dyDescent="0.3">
      <c r="A565" s="1">
        <v>43115</v>
      </c>
      <c r="B565">
        <v>13819.799805000001</v>
      </c>
      <c r="C565" s="2">
        <f t="shared" si="48"/>
        <v>3.470796180656377E-3</v>
      </c>
      <c r="D565">
        <f t="shared" si="51"/>
        <v>13867.679882799999</v>
      </c>
      <c r="E565">
        <f t="shared" si="52"/>
        <v>0</v>
      </c>
      <c r="F565" s="2">
        <f t="shared" si="53"/>
        <v>0</v>
      </c>
      <c r="G565" s="2">
        <f t="shared" si="49"/>
        <v>20.434542531487143</v>
      </c>
      <c r="H565" s="2">
        <f t="shared" si="50"/>
        <v>22.661599107267957</v>
      </c>
    </row>
    <row r="566" spans="1:8" x14ac:dyDescent="0.3">
      <c r="A566" s="1">
        <v>43116</v>
      </c>
      <c r="B566">
        <v>11490.5</v>
      </c>
      <c r="C566" s="2">
        <f t="shared" si="48"/>
        <v>-0.1685480135650923</v>
      </c>
      <c r="D566">
        <f t="shared" si="51"/>
        <v>13484.6199218</v>
      </c>
      <c r="E566">
        <f t="shared" si="52"/>
        <v>0</v>
      </c>
      <c r="F566" s="2">
        <f t="shared" si="53"/>
        <v>0</v>
      </c>
      <c r="G566" s="2">
        <f t="shared" si="49"/>
        <v>16.990340979693592</v>
      </c>
      <c r="H566" s="2">
        <f t="shared" si="50"/>
        <v>22.661599107267957</v>
      </c>
    </row>
    <row r="567" spans="1:8" x14ac:dyDescent="0.3">
      <c r="A567" s="1">
        <v>43117</v>
      </c>
      <c r="B567">
        <v>11188.599609000001</v>
      </c>
      <c r="C567" s="2">
        <f t="shared" si="48"/>
        <v>-2.6273912449414683E-2</v>
      </c>
      <c r="D567">
        <f t="shared" si="51"/>
        <v>12926.219921799999</v>
      </c>
      <c r="E567">
        <f t="shared" si="52"/>
        <v>0</v>
      </c>
      <c r="F567" s="2">
        <f t="shared" si="53"/>
        <v>0</v>
      </c>
      <c r="G567" s="2">
        <f t="shared" si="49"/>
        <v>16.54393824830742</v>
      </c>
      <c r="H567" s="2">
        <f t="shared" si="50"/>
        <v>22.661599107267957</v>
      </c>
    </row>
    <row r="568" spans="1:8" x14ac:dyDescent="0.3">
      <c r="A568" s="1">
        <v>43118</v>
      </c>
      <c r="B568">
        <v>11474.900390999999</v>
      </c>
      <c r="C568" s="2">
        <f t="shared" si="48"/>
        <v>2.5588616270592057E-2</v>
      </c>
      <c r="D568">
        <f t="shared" si="51"/>
        <v>12349.159961000001</v>
      </c>
      <c r="E568">
        <f t="shared" si="52"/>
        <v>0</v>
      </c>
      <c r="F568" s="2">
        <f t="shared" si="53"/>
        <v>0</v>
      </c>
      <c r="G568" s="2">
        <f t="shared" si="49"/>
        <v>16.967274735747729</v>
      </c>
      <c r="H568" s="2">
        <f t="shared" si="50"/>
        <v>22.661599107267957</v>
      </c>
    </row>
    <row r="569" spans="1:8" x14ac:dyDescent="0.3">
      <c r="A569" s="1">
        <v>43119</v>
      </c>
      <c r="B569">
        <v>11607.400390999999</v>
      </c>
      <c r="C569" s="2">
        <f t="shared" si="48"/>
        <v>1.1546941192092763E-2</v>
      </c>
      <c r="D569">
        <f t="shared" si="51"/>
        <v>11916.240039200002</v>
      </c>
      <c r="E569">
        <f t="shared" si="52"/>
        <v>0</v>
      </c>
      <c r="F569" s="2">
        <f t="shared" si="53"/>
        <v>0</v>
      </c>
      <c r="G569" s="2">
        <f t="shared" si="49"/>
        <v>17.163194859311488</v>
      </c>
      <c r="H569" s="2">
        <f t="shared" si="50"/>
        <v>22.661599107267957</v>
      </c>
    </row>
    <row r="570" spans="1:8" x14ac:dyDescent="0.3">
      <c r="A570" s="1">
        <v>43120</v>
      </c>
      <c r="B570">
        <v>12899.200194999999</v>
      </c>
      <c r="C570" s="2">
        <f t="shared" si="48"/>
        <v>0.11129105230156622</v>
      </c>
      <c r="D570">
        <f t="shared" si="51"/>
        <v>11732.1201172</v>
      </c>
      <c r="E570">
        <f t="shared" si="52"/>
        <v>1</v>
      </c>
      <c r="F570" s="2">
        <f t="shared" si="53"/>
        <v>0</v>
      </c>
      <c r="G570" s="2">
        <f t="shared" si="49"/>
        <v>19.073304876061094</v>
      </c>
      <c r="H570" s="2">
        <f t="shared" si="50"/>
        <v>22.661599107267957</v>
      </c>
    </row>
    <row r="571" spans="1:8" x14ac:dyDescent="0.3">
      <c r="A571" s="1">
        <v>43121</v>
      </c>
      <c r="B571">
        <v>11600.099609000001</v>
      </c>
      <c r="C571" s="2">
        <f t="shared" si="48"/>
        <v>-0.10071171594837003</v>
      </c>
      <c r="D571">
        <f t="shared" si="51"/>
        <v>11754.040039</v>
      </c>
      <c r="E571">
        <f t="shared" si="52"/>
        <v>0</v>
      </c>
      <c r="F571" s="2">
        <f t="shared" si="53"/>
        <v>-0.10071171594837003</v>
      </c>
      <c r="G571" s="2">
        <f t="shared" si="49"/>
        <v>17.152399613186567</v>
      </c>
      <c r="H571" s="2">
        <f t="shared" si="50"/>
        <v>20.37931057504095</v>
      </c>
    </row>
    <row r="572" spans="1:8" x14ac:dyDescent="0.3">
      <c r="A572" s="1">
        <v>43122</v>
      </c>
      <c r="B572">
        <v>10931.400390999999</v>
      </c>
      <c r="C572" s="2">
        <f t="shared" si="48"/>
        <v>-5.7645989305228684E-2</v>
      </c>
      <c r="D572">
        <f t="shared" si="51"/>
        <v>11702.6001954</v>
      </c>
      <c r="E572">
        <f t="shared" si="52"/>
        <v>0</v>
      </c>
      <c r="F572" s="2">
        <f t="shared" si="53"/>
        <v>0</v>
      </c>
      <c r="G572" s="2">
        <f t="shared" si="49"/>
        <v>16.163632568525806</v>
      </c>
      <c r="H572" s="2">
        <f t="shared" si="50"/>
        <v>20.37931057504095</v>
      </c>
    </row>
    <row r="573" spans="1:8" x14ac:dyDescent="0.3">
      <c r="A573" s="1">
        <v>43123</v>
      </c>
      <c r="B573">
        <v>10868.400390999999</v>
      </c>
      <c r="C573" s="2">
        <f t="shared" si="48"/>
        <v>-5.7632140207642957E-3</v>
      </c>
      <c r="D573">
        <f t="shared" si="51"/>
        <v>11581.300195400001</v>
      </c>
      <c r="E573">
        <f t="shared" si="52"/>
        <v>0</v>
      </c>
      <c r="F573" s="2">
        <f t="shared" si="53"/>
        <v>0</v>
      </c>
      <c r="G573" s="2">
        <f t="shared" si="49"/>
        <v>16.070478094680396</v>
      </c>
      <c r="H573" s="2">
        <f t="shared" si="50"/>
        <v>20.37931057504095</v>
      </c>
    </row>
    <row r="574" spans="1:8" x14ac:dyDescent="0.3">
      <c r="A574" s="1">
        <v>43124</v>
      </c>
      <c r="B574">
        <v>11359.400390999999</v>
      </c>
      <c r="C574" s="2">
        <f t="shared" si="48"/>
        <v>4.5176841332289497E-2</v>
      </c>
      <c r="D574">
        <f t="shared" si="51"/>
        <v>11531.700195400001</v>
      </c>
      <c r="E574">
        <f t="shared" si="52"/>
        <v>0</v>
      </c>
      <c r="F574" s="2">
        <f t="shared" si="53"/>
        <v>0</v>
      </c>
      <c r="G574" s="2">
        <f t="shared" si="49"/>
        <v>16.796491533697807</v>
      </c>
      <c r="H574" s="2">
        <f t="shared" si="50"/>
        <v>20.37931057504095</v>
      </c>
    </row>
    <row r="575" spans="1:8" x14ac:dyDescent="0.3">
      <c r="A575" s="1">
        <v>43125</v>
      </c>
      <c r="B575">
        <v>11259.400390999999</v>
      </c>
      <c r="C575" s="2">
        <f t="shared" si="48"/>
        <v>-8.8032815604623949E-3</v>
      </c>
      <c r="D575">
        <f t="shared" si="51"/>
        <v>11203.740234600002</v>
      </c>
      <c r="E575">
        <f t="shared" si="52"/>
        <v>1</v>
      </c>
      <c r="F575" s="2">
        <f t="shared" si="53"/>
        <v>0</v>
      </c>
      <c r="G575" s="2">
        <f t="shared" si="49"/>
        <v>16.648627289498744</v>
      </c>
      <c r="H575" s="2">
        <f t="shared" si="50"/>
        <v>20.37931057504095</v>
      </c>
    </row>
    <row r="576" spans="1:8" x14ac:dyDescent="0.3">
      <c r="A576" s="1">
        <v>43126</v>
      </c>
      <c r="B576">
        <v>11171.400390999999</v>
      </c>
      <c r="C576" s="2">
        <f t="shared" si="48"/>
        <v>-7.8156915061250443E-3</v>
      </c>
      <c r="D576">
        <f t="shared" si="51"/>
        <v>11118.000391</v>
      </c>
      <c r="E576">
        <f t="shared" si="52"/>
        <v>1</v>
      </c>
      <c r="F576" s="2">
        <f t="shared" si="53"/>
        <v>-7.8156915061250443E-3</v>
      </c>
      <c r="G576" s="2">
        <f t="shared" si="49"/>
        <v>16.518506754603568</v>
      </c>
      <c r="H576" s="2">
        <f t="shared" si="50"/>
        <v>20.22003217047892</v>
      </c>
    </row>
    <row r="577" spans="1:8" x14ac:dyDescent="0.3">
      <c r="A577" s="1">
        <v>43127</v>
      </c>
      <c r="B577">
        <v>11440.700194999999</v>
      </c>
      <c r="C577" s="2">
        <f t="shared" si="48"/>
        <v>2.410618137158127E-2</v>
      </c>
      <c r="D577">
        <f t="shared" si="51"/>
        <v>11219.860351799998</v>
      </c>
      <c r="E577">
        <f t="shared" si="52"/>
        <v>1</v>
      </c>
      <c r="F577" s="2">
        <f t="shared" si="53"/>
        <v>2.410618137158127E-2</v>
      </c>
      <c r="G577" s="2">
        <f t="shared" si="49"/>
        <v>16.916704874417732</v>
      </c>
      <c r="H577" s="2">
        <f t="shared" si="50"/>
        <v>20.707459933319694</v>
      </c>
    </row>
    <row r="578" spans="1:8" x14ac:dyDescent="0.3">
      <c r="A578" s="1">
        <v>43128</v>
      </c>
      <c r="B578">
        <v>11786.299805000001</v>
      </c>
      <c r="C578" s="2">
        <f t="shared" si="48"/>
        <v>3.0207907218042562E-2</v>
      </c>
      <c r="D578">
        <f t="shared" si="51"/>
        <v>11403.440234599999</v>
      </c>
      <c r="E578">
        <f t="shared" si="52"/>
        <v>1</v>
      </c>
      <c r="F578" s="2">
        <f t="shared" si="53"/>
        <v>3.0207907218042562E-2</v>
      </c>
      <c r="G578" s="2">
        <f t="shared" si="49"/>
        <v>17.427723125699153</v>
      </c>
      <c r="H578" s="2">
        <f t="shared" si="50"/>
        <v>21.33298896170675</v>
      </c>
    </row>
    <row r="579" spans="1:8" x14ac:dyDescent="0.3">
      <c r="A579" s="1">
        <v>43129</v>
      </c>
      <c r="B579">
        <v>11296.400390999999</v>
      </c>
      <c r="C579" s="2">
        <f t="shared" si="48"/>
        <v>-4.1565158031376059E-2</v>
      </c>
      <c r="D579">
        <f t="shared" si="51"/>
        <v>11390.840234599998</v>
      </c>
      <c r="E579">
        <f t="shared" si="52"/>
        <v>0</v>
      </c>
      <c r="F579" s="2">
        <f t="shared" si="53"/>
        <v>-4.1565158031376059E-2</v>
      </c>
      <c r="G579" s="2">
        <f t="shared" si="49"/>
        <v>16.703337059852402</v>
      </c>
      <c r="H579" s="2">
        <f t="shared" si="50"/>
        <v>20.446279904231808</v>
      </c>
    </row>
    <row r="580" spans="1:8" x14ac:dyDescent="0.3">
      <c r="A580" s="1">
        <v>43130</v>
      </c>
      <c r="B580">
        <v>10106.299805000001</v>
      </c>
      <c r="C580" s="2">
        <f t="shared" ref="C580:C643" si="54">B580/B579-1</f>
        <v>-0.10535219581524113</v>
      </c>
      <c r="D580">
        <f t="shared" si="51"/>
        <v>11160.220117400002</v>
      </c>
      <c r="E580">
        <f t="shared" si="52"/>
        <v>0</v>
      </c>
      <c r="F580" s="2">
        <f t="shared" si="53"/>
        <v>0</v>
      </c>
      <c r="G580" s="2">
        <f t="shared" ref="G580:G643" si="55">(1+C580)*G579</f>
        <v>14.943603823154858</v>
      </c>
      <c r="H580" s="2">
        <f t="shared" ref="H580:H643" si="56">(1+F580)*H579</f>
        <v>20.446279904231808</v>
      </c>
    </row>
    <row r="581" spans="1:8" x14ac:dyDescent="0.3">
      <c r="A581" s="1">
        <v>43131</v>
      </c>
      <c r="B581">
        <v>10221.099609000001</v>
      </c>
      <c r="C581" s="2">
        <f t="shared" si="54"/>
        <v>1.1359231985499152E-2</v>
      </c>
      <c r="D581">
        <f t="shared" si="51"/>
        <v>10970.159961000001</v>
      </c>
      <c r="E581">
        <f t="shared" si="52"/>
        <v>0</v>
      </c>
      <c r="F581" s="2">
        <f t="shared" si="53"/>
        <v>0</v>
      </c>
      <c r="G581" s="2">
        <f t="shared" si="55"/>
        <v>15.113351685681465</v>
      </c>
      <c r="H581" s="2">
        <f t="shared" si="56"/>
        <v>20.446279904231808</v>
      </c>
    </row>
    <row r="582" spans="1:8" x14ac:dyDescent="0.3">
      <c r="A582" s="1">
        <v>43132</v>
      </c>
      <c r="B582">
        <v>9170.5400389999995</v>
      </c>
      <c r="C582" s="2">
        <f t="shared" si="54"/>
        <v>-0.10278341961122761</v>
      </c>
      <c r="D582">
        <f t="shared" si="51"/>
        <v>10516.127929800001</v>
      </c>
      <c r="E582">
        <f t="shared" si="52"/>
        <v>0</v>
      </c>
      <c r="F582" s="2">
        <f t="shared" si="53"/>
        <v>0</v>
      </c>
      <c r="G582" s="2">
        <f t="shared" si="55"/>
        <v>13.559949717640013</v>
      </c>
      <c r="H582" s="2">
        <f t="shared" si="56"/>
        <v>20.446279904231808</v>
      </c>
    </row>
    <row r="583" spans="1:8" x14ac:dyDescent="0.3">
      <c r="A583" s="1">
        <v>43133</v>
      </c>
      <c r="B583">
        <v>8830.75</v>
      </c>
      <c r="C583" s="2">
        <f t="shared" si="54"/>
        <v>-3.7052347795763163E-2</v>
      </c>
      <c r="D583">
        <f t="shared" ref="D583:D646" si="57">AVERAGE(B579:B583)</f>
        <v>9925.0179688000007</v>
      </c>
      <c r="E583">
        <f t="shared" ref="E583:E646" si="58">IF(B583&gt;D583,1,0)</f>
        <v>0</v>
      </c>
      <c r="F583" s="2">
        <f t="shared" si="53"/>
        <v>0</v>
      </c>
      <c r="G583" s="2">
        <f t="shared" si="55"/>
        <v>13.057521744608955</v>
      </c>
      <c r="H583" s="2">
        <f t="shared" si="56"/>
        <v>20.446279904231808</v>
      </c>
    </row>
    <row r="584" spans="1:8" x14ac:dyDescent="0.3">
      <c r="A584" s="1">
        <v>43134</v>
      </c>
      <c r="B584">
        <v>9174.9101559999999</v>
      </c>
      <c r="C584" s="2">
        <f t="shared" si="54"/>
        <v>3.8972924836508716E-2</v>
      </c>
      <c r="D584">
        <f t="shared" si="57"/>
        <v>9500.7199217999987</v>
      </c>
      <c r="E584">
        <f t="shared" si="58"/>
        <v>0</v>
      </c>
      <c r="F584" s="2">
        <f t="shared" ref="F584:F647" si="59">E583*C584</f>
        <v>0</v>
      </c>
      <c r="G584" s="2">
        <f t="shared" si="55"/>
        <v>13.566411558112678</v>
      </c>
      <c r="H584" s="2">
        <f t="shared" si="56"/>
        <v>20.446279904231808</v>
      </c>
    </row>
    <row r="585" spans="1:8" x14ac:dyDescent="0.3">
      <c r="A585" s="1">
        <v>43135</v>
      </c>
      <c r="B585">
        <v>8277.0097659999992</v>
      </c>
      <c r="C585" s="2">
        <f t="shared" si="54"/>
        <v>-9.7864761042135373E-2</v>
      </c>
      <c r="D585">
        <f t="shared" si="57"/>
        <v>9134.8619139999992</v>
      </c>
      <c r="E585">
        <f t="shared" si="58"/>
        <v>0</v>
      </c>
      <c r="F585" s="2">
        <f t="shared" si="59"/>
        <v>0</v>
      </c>
      <c r="G585" s="2">
        <f t="shared" si="55"/>
        <v>12.238737932778717</v>
      </c>
      <c r="H585" s="2">
        <f t="shared" si="56"/>
        <v>20.446279904231808</v>
      </c>
    </row>
    <row r="586" spans="1:8" x14ac:dyDescent="0.3">
      <c r="A586" s="1">
        <v>43136</v>
      </c>
      <c r="B586">
        <v>6955.2700199999999</v>
      </c>
      <c r="C586" s="2">
        <f t="shared" si="54"/>
        <v>-0.15968807375694949</v>
      </c>
      <c r="D586">
        <f t="shared" si="57"/>
        <v>8481.6959962000001</v>
      </c>
      <c r="E586">
        <f t="shared" si="58"/>
        <v>0</v>
      </c>
      <c r="F586" s="2">
        <f t="shared" si="59"/>
        <v>0</v>
      </c>
      <c r="G586" s="2">
        <f t="shared" si="55"/>
        <v>10.284357447077173</v>
      </c>
      <c r="H586" s="2">
        <f t="shared" si="56"/>
        <v>20.446279904231808</v>
      </c>
    </row>
    <row r="587" spans="1:8" x14ac:dyDescent="0.3">
      <c r="A587" s="1">
        <v>43137</v>
      </c>
      <c r="B587">
        <v>7754</v>
      </c>
      <c r="C587" s="2">
        <f t="shared" si="54"/>
        <v>0.11483809797509492</v>
      </c>
      <c r="D587">
        <f t="shared" si="57"/>
        <v>8198.3879883999998</v>
      </c>
      <c r="E587">
        <f t="shared" si="58"/>
        <v>0</v>
      </c>
      <c r="F587" s="2">
        <f t="shared" si="59"/>
        <v>0</v>
      </c>
      <c r="G587" s="2">
        <f t="shared" si="55"/>
        <v>11.465393495195519</v>
      </c>
      <c r="H587" s="2">
        <f t="shared" si="56"/>
        <v>20.446279904231808</v>
      </c>
    </row>
    <row r="588" spans="1:8" x14ac:dyDescent="0.3">
      <c r="A588" s="1">
        <v>43138</v>
      </c>
      <c r="B588">
        <v>7621.2998049999997</v>
      </c>
      <c r="C588" s="2">
        <f t="shared" si="54"/>
        <v>-1.7113772891410917E-2</v>
      </c>
      <c r="D588">
        <f t="shared" si="57"/>
        <v>7956.4979493999999</v>
      </c>
      <c r="E588">
        <f t="shared" si="58"/>
        <v>0</v>
      </c>
      <c r="F588" s="2">
        <f t="shared" si="59"/>
        <v>0</v>
      </c>
      <c r="G588" s="2">
        <f t="shared" si="55"/>
        <v>11.269177354808082</v>
      </c>
      <c r="H588" s="2">
        <f t="shared" si="56"/>
        <v>20.446279904231808</v>
      </c>
    </row>
    <row r="589" spans="1:8" x14ac:dyDescent="0.3">
      <c r="A589" s="1">
        <v>43139</v>
      </c>
      <c r="B589">
        <v>8265.5898440000001</v>
      </c>
      <c r="C589" s="2">
        <f t="shared" si="54"/>
        <v>8.4538078213024725E-2</v>
      </c>
      <c r="D589">
        <f t="shared" si="57"/>
        <v>7774.633886999999</v>
      </c>
      <c r="E589">
        <f t="shared" si="58"/>
        <v>1</v>
      </c>
      <c r="F589" s="2">
        <f t="shared" si="59"/>
        <v>0</v>
      </c>
      <c r="G589" s="2">
        <f t="shared" si="55"/>
        <v>12.221851951425295</v>
      </c>
      <c r="H589" s="2">
        <f t="shared" si="56"/>
        <v>20.446279904231808</v>
      </c>
    </row>
    <row r="590" spans="1:8" x14ac:dyDescent="0.3">
      <c r="A590" s="1">
        <v>43140</v>
      </c>
      <c r="B590">
        <v>8736.9804690000001</v>
      </c>
      <c r="C590" s="2">
        <f t="shared" si="54"/>
        <v>5.7030488313206451E-2</v>
      </c>
      <c r="D590">
        <f t="shared" si="57"/>
        <v>7866.6280276000007</v>
      </c>
      <c r="E590">
        <f t="shared" si="58"/>
        <v>1</v>
      </c>
      <c r="F590" s="2">
        <f t="shared" si="59"/>
        <v>5.7030488313206451E-2</v>
      </c>
      <c r="G590" s="2">
        <f t="shared" si="55"/>
        <v>12.918870136306795</v>
      </c>
      <c r="H590" s="2">
        <f t="shared" si="56"/>
        <v>21.612341231358648</v>
      </c>
    </row>
    <row r="591" spans="1:8" x14ac:dyDescent="0.3">
      <c r="A591" s="1">
        <v>43141</v>
      </c>
      <c r="B591">
        <v>8621.9003909999992</v>
      </c>
      <c r="C591" s="2">
        <f t="shared" si="54"/>
        <v>-1.3171607560337417E-2</v>
      </c>
      <c r="D591">
        <f t="shared" si="57"/>
        <v>8199.9541017999982</v>
      </c>
      <c r="E591">
        <f t="shared" si="58"/>
        <v>1</v>
      </c>
      <c r="F591" s="2">
        <f t="shared" si="59"/>
        <v>-1.3171607560337417E-2</v>
      </c>
      <c r="G591" s="2">
        <f t="shared" si="55"/>
        <v>12.748707848748399</v>
      </c>
      <c r="H591" s="2">
        <f t="shared" si="56"/>
        <v>21.327671954199094</v>
      </c>
    </row>
    <row r="592" spans="1:8" x14ac:dyDescent="0.3">
      <c r="A592" s="1">
        <v>43142</v>
      </c>
      <c r="B592">
        <v>8129.9702150000003</v>
      </c>
      <c r="C592" s="2">
        <f t="shared" si="54"/>
        <v>-5.7055887181612808E-2</v>
      </c>
      <c r="D592">
        <f t="shared" si="57"/>
        <v>8275.1481447999995</v>
      </c>
      <c r="E592">
        <f t="shared" si="58"/>
        <v>0</v>
      </c>
      <c r="F592" s="2">
        <f t="shared" si="59"/>
        <v>-5.7055887181612808E-2</v>
      </c>
      <c r="G592" s="2">
        <f t="shared" si="55"/>
        <v>12.02131901201887</v>
      </c>
      <c r="H592" s="2">
        <f t="shared" si="56"/>
        <v>20.110802709333864</v>
      </c>
    </row>
    <row r="593" spans="1:8" x14ac:dyDescent="0.3">
      <c r="A593" s="1">
        <v>43143</v>
      </c>
      <c r="B593">
        <v>8926.5703130000002</v>
      </c>
      <c r="C593" s="2">
        <f t="shared" si="54"/>
        <v>9.7983150852170686E-2</v>
      </c>
      <c r="D593">
        <f t="shared" si="57"/>
        <v>8536.2022464000001</v>
      </c>
      <c r="E593">
        <f t="shared" si="58"/>
        <v>1</v>
      </c>
      <c r="F593" s="2">
        <f t="shared" si="59"/>
        <v>0</v>
      </c>
      <c r="G593" s="2">
        <f t="shared" si="55"/>
        <v>13.199205726215581</v>
      </c>
      <c r="H593" s="2">
        <f t="shared" si="56"/>
        <v>20.110802709333864</v>
      </c>
    </row>
    <row r="594" spans="1:8" x14ac:dyDescent="0.3">
      <c r="A594" s="1">
        <v>43144</v>
      </c>
      <c r="B594">
        <v>8598.3095699999994</v>
      </c>
      <c r="C594" s="2">
        <f t="shared" si="54"/>
        <v>-3.6773445062315391E-2</v>
      </c>
      <c r="D594">
        <f t="shared" si="57"/>
        <v>8602.7461915999993</v>
      </c>
      <c r="E594">
        <f t="shared" si="58"/>
        <v>0</v>
      </c>
      <c r="F594" s="2">
        <f t="shared" si="59"/>
        <v>-3.6773445062315391E-2</v>
      </c>
      <c r="G594" s="2">
        <f t="shared" si="55"/>
        <v>12.713825459576393</v>
      </c>
      <c r="H594" s="2">
        <f t="shared" si="56"/>
        <v>19.371259210743112</v>
      </c>
    </row>
    <row r="595" spans="1:8" x14ac:dyDescent="0.3">
      <c r="A595" s="1">
        <v>43145</v>
      </c>
      <c r="B595">
        <v>9494.6298829999996</v>
      </c>
      <c r="C595" s="2">
        <f t="shared" si="54"/>
        <v>0.10424378253689692</v>
      </c>
      <c r="D595">
        <f t="shared" si="57"/>
        <v>8754.2760744000007</v>
      </c>
      <c r="E595">
        <f t="shared" si="58"/>
        <v>1</v>
      </c>
      <c r="F595" s="2">
        <f t="shared" si="59"/>
        <v>0</v>
      </c>
      <c r="G595" s="2">
        <f t="shared" si="55"/>
        <v>14.039162715996538</v>
      </c>
      <c r="H595" s="2">
        <f t="shared" si="56"/>
        <v>19.371259210743112</v>
      </c>
    </row>
    <row r="596" spans="1:8" x14ac:dyDescent="0.3">
      <c r="A596" s="1">
        <v>43146</v>
      </c>
      <c r="B596">
        <v>10166.400390999999</v>
      </c>
      <c r="C596" s="2">
        <f t="shared" si="54"/>
        <v>7.0752679807223995E-2</v>
      </c>
      <c r="D596">
        <f t="shared" si="57"/>
        <v>9063.1760744000003</v>
      </c>
      <c r="E596">
        <f t="shared" si="58"/>
        <v>1</v>
      </c>
      <c r="F596" s="2">
        <f t="shared" si="59"/>
        <v>7.0752679807223995E-2</v>
      </c>
      <c r="G596" s="2">
        <f t="shared" si="55"/>
        <v>15.032471100402958</v>
      </c>
      <c r="H596" s="2">
        <f t="shared" si="56"/>
        <v>20.741827711143557</v>
      </c>
    </row>
    <row r="597" spans="1:8" x14ac:dyDescent="0.3">
      <c r="A597" s="1">
        <v>43147</v>
      </c>
      <c r="B597">
        <v>10233.900390999999</v>
      </c>
      <c r="C597" s="2">
        <f t="shared" si="54"/>
        <v>6.6395181582417084E-3</v>
      </c>
      <c r="D597">
        <f t="shared" si="57"/>
        <v>9483.962109600001</v>
      </c>
      <c r="E597">
        <f t="shared" si="58"/>
        <v>1</v>
      </c>
      <c r="F597" s="2">
        <f t="shared" si="59"/>
        <v>6.6395181582417084E-3</v>
      </c>
      <c r="G597" s="2">
        <f t="shared" si="55"/>
        <v>15.132279465237326</v>
      </c>
      <c r="H597" s="2">
        <f t="shared" si="56"/>
        <v>20.879543452866816</v>
      </c>
    </row>
    <row r="598" spans="1:8" x14ac:dyDescent="0.3">
      <c r="A598" s="1">
        <v>43148</v>
      </c>
      <c r="B598">
        <v>11112.700194999999</v>
      </c>
      <c r="C598" s="2">
        <f t="shared" si="54"/>
        <v>8.5871443968014605E-2</v>
      </c>
      <c r="D598">
        <f t="shared" si="57"/>
        <v>9921.1880859999983</v>
      </c>
      <c r="E598">
        <f t="shared" si="58"/>
        <v>1</v>
      </c>
      <c r="F598" s="2">
        <f t="shared" si="59"/>
        <v>8.5871443968014605E-2</v>
      </c>
      <c r="G598" s="2">
        <f t="shared" si="55"/>
        <v>16.43171015344479</v>
      </c>
      <c r="H598" s="2">
        <f t="shared" si="56"/>
        <v>22.672499998557395</v>
      </c>
    </row>
    <row r="599" spans="1:8" x14ac:dyDescent="0.3">
      <c r="A599" s="1">
        <v>43149</v>
      </c>
      <c r="B599">
        <v>10551.799805000001</v>
      </c>
      <c r="C599" s="2">
        <f t="shared" si="54"/>
        <v>-5.0473816458430854E-2</v>
      </c>
      <c r="D599">
        <f t="shared" si="57"/>
        <v>10311.886133</v>
      </c>
      <c r="E599">
        <f t="shared" si="58"/>
        <v>1</v>
      </c>
      <c r="F599" s="2">
        <f t="shared" si="59"/>
        <v>-5.0473816458430854E-2</v>
      </c>
      <c r="G599" s="2">
        <f t="shared" si="55"/>
        <v>15.602339031061684</v>
      </c>
      <c r="H599" s="2">
        <f t="shared" si="56"/>
        <v>21.528132394976435</v>
      </c>
    </row>
    <row r="600" spans="1:8" x14ac:dyDescent="0.3">
      <c r="A600" s="1">
        <v>43150</v>
      </c>
      <c r="B600">
        <v>11225.299805000001</v>
      </c>
      <c r="C600" s="2">
        <f t="shared" si="54"/>
        <v>6.3827973658186821E-2</v>
      </c>
      <c r="D600">
        <f t="shared" si="57"/>
        <v>10658.020117399999</v>
      </c>
      <c r="E600">
        <f t="shared" si="58"/>
        <v>1</v>
      </c>
      <c r="F600" s="2">
        <f t="shared" si="59"/>
        <v>6.3827973658186821E-2</v>
      </c>
      <c r="G600" s="2">
        <f t="shared" si="55"/>
        <v>16.598204715742387</v>
      </c>
      <c r="H600" s="2">
        <f t="shared" si="56"/>
        <v>22.902229462392949</v>
      </c>
    </row>
    <row r="601" spans="1:8" x14ac:dyDescent="0.3">
      <c r="A601" s="1">
        <v>43151</v>
      </c>
      <c r="B601">
        <v>11403.700194999999</v>
      </c>
      <c r="C601" s="2">
        <f t="shared" si="54"/>
        <v>1.5892706038954652E-2</v>
      </c>
      <c r="D601">
        <f t="shared" si="57"/>
        <v>10905.4800782</v>
      </c>
      <c r="E601">
        <f t="shared" si="58"/>
        <v>1</v>
      </c>
      <c r="F601" s="2">
        <f t="shared" si="59"/>
        <v>1.5892706038954652E-2</v>
      </c>
      <c r="G601" s="2">
        <f t="shared" si="55"/>
        <v>16.861995104064071</v>
      </c>
      <c r="H601" s="2">
        <f t="shared" si="56"/>
        <v>23.266207862875447</v>
      </c>
    </row>
    <row r="602" spans="1:8" x14ac:dyDescent="0.3">
      <c r="A602" s="1">
        <v>43152</v>
      </c>
      <c r="B602">
        <v>10690.400390999999</v>
      </c>
      <c r="C602" s="2">
        <f t="shared" si="54"/>
        <v>-6.2549855906659957E-2</v>
      </c>
      <c r="D602">
        <f t="shared" si="57"/>
        <v>10996.780078200001</v>
      </c>
      <c r="E602">
        <f t="shared" si="58"/>
        <v>0</v>
      </c>
      <c r="F602" s="2">
        <f t="shared" si="59"/>
        <v>-6.2549855906659957E-2</v>
      </c>
      <c r="G602" s="2">
        <f t="shared" si="55"/>
        <v>15.807279740006058</v>
      </c>
      <c r="H602" s="2">
        <f t="shared" si="56"/>
        <v>21.810909913558188</v>
      </c>
    </row>
    <row r="603" spans="1:8" x14ac:dyDescent="0.3">
      <c r="A603" s="1">
        <v>43153</v>
      </c>
      <c r="B603">
        <v>10005</v>
      </c>
      <c r="C603" s="2">
        <f t="shared" si="54"/>
        <v>-6.4113631476050426E-2</v>
      </c>
      <c r="D603">
        <f t="shared" si="57"/>
        <v>10775.240039200002</v>
      </c>
      <c r="E603">
        <f t="shared" si="58"/>
        <v>0</v>
      </c>
      <c r="F603" s="2">
        <f t="shared" si="59"/>
        <v>0</v>
      </c>
      <c r="G603" s="2">
        <f t="shared" si="55"/>
        <v>14.793817632116472</v>
      </c>
      <c r="H603" s="2">
        <f t="shared" si="56"/>
        <v>21.810909913558188</v>
      </c>
    </row>
    <row r="604" spans="1:8" x14ac:dyDescent="0.3">
      <c r="A604" s="1">
        <v>43154</v>
      </c>
      <c r="B604">
        <v>10301.099609000001</v>
      </c>
      <c r="C604" s="2">
        <f t="shared" si="54"/>
        <v>2.9595163318340889E-2</v>
      </c>
      <c r="D604">
        <f t="shared" si="57"/>
        <v>10725.1</v>
      </c>
      <c r="E604">
        <f t="shared" si="58"/>
        <v>0</v>
      </c>
      <c r="F604" s="2">
        <f t="shared" si="59"/>
        <v>0</v>
      </c>
      <c r="G604" s="2">
        <f t="shared" si="55"/>
        <v>15.23164308104071</v>
      </c>
      <c r="H604" s="2">
        <f t="shared" si="56"/>
        <v>21.810909913558188</v>
      </c>
    </row>
    <row r="605" spans="1:8" x14ac:dyDescent="0.3">
      <c r="A605" s="1">
        <v>43155</v>
      </c>
      <c r="B605">
        <v>9813.0703130000002</v>
      </c>
      <c r="C605" s="2">
        <f t="shared" si="54"/>
        <v>-4.7376427228566276E-2</v>
      </c>
      <c r="D605">
        <f t="shared" si="57"/>
        <v>10442.654101600001</v>
      </c>
      <c r="E605">
        <f t="shared" si="58"/>
        <v>0</v>
      </c>
      <c r="F605" s="2">
        <f t="shared" si="59"/>
        <v>0</v>
      </c>
      <c r="G605" s="2">
        <f t="shared" si="55"/>
        <v>14.51002225104029</v>
      </c>
      <c r="H605" s="2">
        <f t="shared" si="56"/>
        <v>21.810909913558188</v>
      </c>
    </row>
    <row r="606" spans="1:8" x14ac:dyDescent="0.3">
      <c r="A606" s="1">
        <v>43156</v>
      </c>
      <c r="B606">
        <v>9664.7304690000001</v>
      </c>
      <c r="C606" s="2">
        <f t="shared" si="54"/>
        <v>-1.5116557740698644E-2</v>
      </c>
      <c r="D606">
        <f t="shared" si="57"/>
        <v>10094.860156400002</v>
      </c>
      <c r="E606">
        <f t="shared" si="58"/>
        <v>0</v>
      </c>
      <c r="F606" s="2">
        <f t="shared" si="59"/>
        <v>0</v>
      </c>
      <c r="G606" s="2">
        <f t="shared" si="55"/>
        <v>14.290680661863618</v>
      </c>
      <c r="H606" s="2">
        <f t="shared" si="56"/>
        <v>21.810909913558188</v>
      </c>
    </row>
    <row r="607" spans="1:8" x14ac:dyDescent="0.3">
      <c r="A607" s="1">
        <v>43157</v>
      </c>
      <c r="B607">
        <v>10366.700194999999</v>
      </c>
      <c r="C607" s="2">
        <f t="shared" si="54"/>
        <v>7.2632105804874225E-2</v>
      </c>
      <c r="D607">
        <f t="shared" si="57"/>
        <v>10030.1201172</v>
      </c>
      <c r="E607">
        <f t="shared" si="58"/>
        <v>1</v>
      </c>
      <c r="F607" s="2">
        <f t="shared" si="59"/>
        <v>0</v>
      </c>
      <c r="G607" s="2">
        <f t="shared" si="55"/>
        <v>15.328642891719767</v>
      </c>
      <c r="H607" s="2">
        <f t="shared" si="56"/>
        <v>21.810909913558188</v>
      </c>
    </row>
    <row r="608" spans="1:8" x14ac:dyDescent="0.3">
      <c r="A608" s="1">
        <v>43158</v>
      </c>
      <c r="B608">
        <v>10725.599609000001</v>
      </c>
      <c r="C608" s="2">
        <f t="shared" si="54"/>
        <v>3.4620410279936786E-2</v>
      </c>
      <c r="D608">
        <f t="shared" si="57"/>
        <v>10174.240039</v>
      </c>
      <c r="E608">
        <f t="shared" si="58"/>
        <v>1</v>
      </c>
      <c r="F608" s="2">
        <f t="shared" si="59"/>
        <v>3.4620410279936786E-2</v>
      </c>
      <c r="G608" s="2">
        <f t="shared" si="55"/>
        <v>15.859326797665743</v>
      </c>
      <c r="H608" s="2">
        <f t="shared" si="56"/>
        <v>22.566012563344312</v>
      </c>
    </row>
    <row r="609" spans="1:8" x14ac:dyDescent="0.3">
      <c r="A609" s="1">
        <v>43159</v>
      </c>
      <c r="B609">
        <v>10397.900390999999</v>
      </c>
      <c r="C609" s="2">
        <f t="shared" si="54"/>
        <v>-3.0552997496291479E-2</v>
      </c>
      <c r="D609">
        <f t="shared" si="57"/>
        <v>10193.6001954</v>
      </c>
      <c r="E609">
        <f t="shared" si="58"/>
        <v>1</v>
      </c>
      <c r="F609" s="2">
        <f t="shared" si="59"/>
        <v>-3.0552997496291479E-2</v>
      </c>
      <c r="G609" s="2">
        <f t="shared" si="55"/>
        <v>15.374776825723792</v>
      </c>
      <c r="H609" s="2">
        <f t="shared" si="56"/>
        <v>21.876553237995171</v>
      </c>
    </row>
    <row r="610" spans="1:8" x14ac:dyDescent="0.3">
      <c r="A610" s="1">
        <v>43160</v>
      </c>
      <c r="B610">
        <v>10951</v>
      </c>
      <c r="C610" s="2">
        <f t="shared" si="54"/>
        <v>5.3193393685396551E-2</v>
      </c>
      <c r="D610">
        <f t="shared" si="57"/>
        <v>10421.1861328</v>
      </c>
      <c r="E610">
        <f t="shared" si="58"/>
        <v>1</v>
      </c>
      <c r="F610" s="2">
        <f t="shared" si="59"/>
        <v>5.3193393685396551E-2</v>
      </c>
      <c r="G610" s="2">
        <f t="shared" si="55"/>
        <v>16.192613382239628</v>
      </c>
      <c r="H610" s="2">
        <f t="shared" si="56"/>
        <v>23.040241346863386</v>
      </c>
    </row>
    <row r="611" spans="1:8" x14ac:dyDescent="0.3">
      <c r="A611" s="1">
        <v>43161</v>
      </c>
      <c r="B611">
        <v>11086.400390999999</v>
      </c>
      <c r="C611" s="2">
        <f t="shared" si="54"/>
        <v>1.2364203360423653E-2</v>
      </c>
      <c r="D611">
        <f t="shared" si="57"/>
        <v>10705.5201172</v>
      </c>
      <c r="E611">
        <f t="shared" si="58"/>
        <v>1</v>
      </c>
      <c r="F611" s="2">
        <f t="shared" si="59"/>
        <v>1.2364203360423653E-2</v>
      </c>
      <c r="G611" s="2">
        <f t="shared" si="55"/>
        <v>16.392822147034355</v>
      </c>
      <c r="H611" s="2">
        <f t="shared" si="56"/>
        <v>23.325115576349248</v>
      </c>
    </row>
    <row r="612" spans="1:8" x14ac:dyDescent="0.3">
      <c r="A612" s="1">
        <v>43162</v>
      </c>
      <c r="B612">
        <v>11489.700194999999</v>
      </c>
      <c r="C612" s="2">
        <f t="shared" si="54"/>
        <v>3.6377885497208107E-2</v>
      </c>
      <c r="D612">
        <f t="shared" si="57"/>
        <v>10930.1201172</v>
      </c>
      <c r="E612">
        <f t="shared" si="58"/>
        <v>1</v>
      </c>
      <c r="F612" s="2">
        <f t="shared" si="59"/>
        <v>3.6377885497208107E-2</v>
      </c>
      <c r="G612" s="2">
        <f t="shared" si="55"/>
        <v>16.989158354075268</v>
      </c>
      <c r="H612" s="2">
        <f t="shared" si="56"/>
        <v>24.173633959994827</v>
      </c>
    </row>
    <row r="613" spans="1:8" x14ac:dyDescent="0.3">
      <c r="A613" s="1">
        <v>43163</v>
      </c>
      <c r="B613">
        <v>11512.599609000001</v>
      </c>
      <c r="C613" s="2">
        <f t="shared" si="54"/>
        <v>1.9930384267090595E-3</v>
      </c>
      <c r="D613">
        <f t="shared" si="57"/>
        <v>11087.5201172</v>
      </c>
      <c r="E613">
        <f t="shared" si="58"/>
        <v>1</v>
      </c>
      <c r="F613" s="2">
        <f t="shared" si="59"/>
        <v>1.9930384267090595E-3</v>
      </c>
      <c r="G613" s="2">
        <f t="shared" si="55"/>
        <v>17.023018399512384</v>
      </c>
      <c r="H613" s="2">
        <f t="shared" si="56"/>
        <v>24.221812941390297</v>
      </c>
    </row>
    <row r="614" spans="1:8" x14ac:dyDescent="0.3">
      <c r="A614" s="1">
        <v>43164</v>
      </c>
      <c r="B614">
        <v>11573.299805000001</v>
      </c>
      <c r="C614" s="2">
        <f t="shared" si="54"/>
        <v>5.2725012648358049E-3</v>
      </c>
      <c r="D614">
        <f t="shared" si="57"/>
        <v>11322.6</v>
      </c>
      <c r="E614">
        <f t="shared" si="58"/>
        <v>1</v>
      </c>
      <c r="F614" s="2">
        <f t="shared" si="59"/>
        <v>5.2725012648358049E-3</v>
      </c>
      <c r="G614" s="2">
        <f t="shared" si="55"/>
        <v>17.112772285555138</v>
      </c>
      <c r="H614" s="2">
        <f t="shared" si="56"/>
        <v>24.349522480760395</v>
      </c>
    </row>
    <row r="615" spans="1:8" x14ac:dyDescent="0.3">
      <c r="A615" s="1">
        <v>43165</v>
      </c>
      <c r="B615">
        <v>10779.900390999999</v>
      </c>
      <c r="C615" s="2">
        <f t="shared" si="54"/>
        <v>-6.8554295435881651E-2</v>
      </c>
      <c r="D615">
        <f t="shared" si="57"/>
        <v>11288.3800782</v>
      </c>
      <c r="E615">
        <f t="shared" si="58"/>
        <v>0</v>
      </c>
      <c r="F615" s="2">
        <f t="shared" si="59"/>
        <v>-6.8554295435881651E-2</v>
      </c>
      <c r="G615" s="2">
        <f t="shared" si="55"/>
        <v>15.939618238564224</v>
      </c>
      <c r="H615" s="2">
        <f t="shared" si="56"/>
        <v>22.680258122891704</v>
      </c>
    </row>
    <row r="616" spans="1:8" x14ac:dyDescent="0.3">
      <c r="A616" s="1">
        <v>43166</v>
      </c>
      <c r="B616">
        <v>9965.5703130000002</v>
      </c>
      <c r="C616" s="2">
        <f t="shared" si="54"/>
        <v>-7.5541521578425086E-2</v>
      </c>
      <c r="D616">
        <f t="shared" si="57"/>
        <v>11064.2140626</v>
      </c>
      <c r="E616">
        <f t="shared" si="58"/>
        <v>0</v>
      </c>
      <c r="F616" s="2">
        <f t="shared" si="59"/>
        <v>0</v>
      </c>
      <c r="G616" s="2">
        <f t="shared" si="55"/>
        <v>14.735515223443866</v>
      </c>
      <c r="H616" s="2">
        <f t="shared" si="56"/>
        <v>22.680258122891704</v>
      </c>
    </row>
    <row r="617" spans="1:8" x14ac:dyDescent="0.3">
      <c r="A617" s="1">
        <v>43167</v>
      </c>
      <c r="B617">
        <v>9395.0097659999992</v>
      </c>
      <c r="C617" s="2">
        <f t="shared" si="54"/>
        <v>-5.7253175591537309E-2</v>
      </c>
      <c r="D617">
        <f t="shared" si="57"/>
        <v>10645.275976800001</v>
      </c>
      <c r="E617">
        <f t="shared" si="58"/>
        <v>0</v>
      </c>
      <c r="F617" s="2">
        <f t="shared" si="59"/>
        <v>0</v>
      </c>
      <c r="G617" s="2">
        <f t="shared" si="55"/>
        <v>13.891860182924264</v>
      </c>
      <c r="H617" s="2">
        <f t="shared" si="56"/>
        <v>22.680258122891704</v>
      </c>
    </row>
    <row r="618" spans="1:8" x14ac:dyDescent="0.3">
      <c r="A618" s="1">
        <v>43168</v>
      </c>
      <c r="B618">
        <v>9337.5498050000006</v>
      </c>
      <c r="C618" s="2">
        <f t="shared" si="54"/>
        <v>-6.116008650458582E-3</v>
      </c>
      <c r="D618">
        <f t="shared" si="57"/>
        <v>10210.266016</v>
      </c>
      <c r="E618">
        <f t="shared" si="58"/>
        <v>0</v>
      </c>
      <c r="F618" s="2">
        <f t="shared" si="59"/>
        <v>0</v>
      </c>
      <c r="G618" s="2">
        <f t="shared" si="55"/>
        <v>13.806897445874538</v>
      </c>
      <c r="H618" s="2">
        <f t="shared" si="56"/>
        <v>22.680258122891704</v>
      </c>
    </row>
    <row r="619" spans="1:8" x14ac:dyDescent="0.3">
      <c r="A619" s="1">
        <v>43169</v>
      </c>
      <c r="B619">
        <v>8866</v>
      </c>
      <c r="C619" s="2">
        <f t="shared" si="54"/>
        <v>-5.0500379098111892E-2</v>
      </c>
      <c r="D619">
        <f t="shared" si="57"/>
        <v>9668.8060549999991</v>
      </c>
      <c r="E619">
        <f t="shared" si="58"/>
        <v>0</v>
      </c>
      <c r="F619" s="2">
        <f t="shared" si="59"/>
        <v>0</v>
      </c>
      <c r="G619" s="2">
        <f t="shared" si="55"/>
        <v>13.109643890689121</v>
      </c>
      <c r="H619" s="2">
        <f t="shared" si="56"/>
        <v>22.680258122891704</v>
      </c>
    </row>
    <row r="620" spans="1:8" x14ac:dyDescent="0.3">
      <c r="A620" s="1">
        <v>43170</v>
      </c>
      <c r="B620">
        <v>9578.6298829999996</v>
      </c>
      <c r="C620" s="2">
        <f t="shared" si="54"/>
        <v>8.0377834762012101E-2</v>
      </c>
      <c r="D620">
        <f t="shared" si="57"/>
        <v>9428.5519534000014</v>
      </c>
      <c r="E620">
        <f t="shared" si="58"/>
        <v>1</v>
      </c>
      <c r="F620" s="2">
        <f t="shared" si="59"/>
        <v>0</v>
      </c>
      <c r="G620" s="2">
        <f t="shared" si="55"/>
        <v>14.163368681123753</v>
      </c>
      <c r="H620" s="2">
        <f t="shared" si="56"/>
        <v>22.680258122891704</v>
      </c>
    </row>
    <row r="621" spans="1:8" x14ac:dyDescent="0.3">
      <c r="A621" s="1">
        <v>43171</v>
      </c>
      <c r="B621">
        <v>9205.1201170000004</v>
      </c>
      <c r="C621" s="2">
        <f t="shared" si="54"/>
        <v>-3.8994070191906927E-2</v>
      </c>
      <c r="D621">
        <f t="shared" si="57"/>
        <v>9276.4619141999992</v>
      </c>
      <c r="E621">
        <f t="shared" si="58"/>
        <v>0</v>
      </c>
      <c r="F621" s="2">
        <f t="shared" si="59"/>
        <v>-3.8994070191906927E-2</v>
      </c>
      <c r="G621" s="2">
        <f t="shared" si="55"/>
        <v>13.611081288618157</v>
      </c>
      <c r="H621" s="2">
        <f t="shared" si="56"/>
        <v>21.7958625456771</v>
      </c>
    </row>
    <row r="622" spans="1:8" x14ac:dyDescent="0.3">
      <c r="A622" s="1">
        <v>43172</v>
      </c>
      <c r="B622">
        <v>9194.8496090000008</v>
      </c>
      <c r="C622" s="2">
        <f t="shared" si="54"/>
        <v>-1.1157386182317763E-3</v>
      </c>
      <c r="D622">
        <f t="shared" si="57"/>
        <v>9236.4298827999992</v>
      </c>
      <c r="E622">
        <f t="shared" si="58"/>
        <v>0</v>
      </c>
      <c r="F622" s="2">
        <f t="shared" si="59"/>
        <v>0</v>
      </c>
      <c r="G622" s="2">
        <f t="shared" si="55"/>
        <v>13.595894879588554</v>
      </c>
      <c r="H622" s="2">
        <f t="shared" si="56"/>
        <v>21.7958625456771</v>
      </c>
    </row>
    <row r="623" spans="1:8" x14ac:dyDescent="0.3">
      <c r="A623" s="1">
        <v>43173</v>
      </c>
      <c r="B623">
        <v>8269.8095699999994</v>
      </c>
      <c r="C623" s="2">
        <f t="shared" si="54"/>
        <v>-0.10060415105588716</v>
      </c>
      <c r="D623">
        <f t="shared" si="57"/>
        <v>9022.881835799999</v>
      </c>
      <c r="E623">
        <f t="shared" si="58"/>
        <v>0</v>
      </c>
      <c r="F623" s="2">
        <f t="shared" si="59"/>
        <v>0</v>
      </c>
      <c r="G623" s="2">
        <f t="shared" si="55"/>
        <v>12.228091417382466</v>
      </c>
      <c r="H623" s="2">
        <f t="shared" si="56"/>
        <v>21.7958625456771</v>
      </c>
    </row>
    <row r="624" spans="1:8" x14ac:dyDescent="0.3">
      <c r="A624" s="1">
        <v>43174</v>
      </c>
      <c r="B624">
        <v>8300.8603519999997</v>
      </c>
      <c r="C624" s="2">
        <f t="shared" si="54"/>
        <v>3.7547154788959425E-3</v>
      </c>
      <c r="D624">
        <f t="shared" si="57"/>
        <v>8909.8539062</v>
      </c>
      <c r="E624">
        <f t="shared" si="58"/>
        <v>0</v>
      </c>
      <c r="F624" s="2">
        <f t="shared" si="59"/>
        <v>0</v>
      </c>
      <c r="G624" s="2">
        <f t="shared" si="55"/>
        <v>12.274004421504666</v>
      </c>
      <c r="H624" s="2">
        <f t="shared" si="56"/>
        <v>21.7958625456771</v>
      </c>
    </row>
    <row r="625" spans="1:8" x14ac:dyDescent="0.3">
      <c r="A625" s="1">
        <v>43175</v>
      </c>
      <c r="B625">
        <v>8338.3496090000008</v>
      </c>
      <c r="C625" s="2">
        <f t="shared" si="54"/>
        <v>4.5163098052805051E-3</v>
      </c>
      <c r="D625">
        <f t="shared" si="57"/>
        <v>8661.7978513999988</v>
      </c>
      <c r="E625">
        <f t="shared" si="58"/>
        <v>0</v>
      </c>
      <c r="F625" s="2">
        <f t="shared" si="59"/>
        <v>0</v>
      </c>
      <c r="G625" s="2">
        <f t="shared" si="55"/>
        <v>12.329437628023562</v>
      </c>
      <c r="H625" s="2">
        <f t="shared" si="56"/>
        <v>21.7958625456771</v>
      </c>
    </row>
    <row r="626" spans="1:8" x14ac:dyDescent="0.3">
      <c r="A626" s="1">
        <v>43176</v>
      </c>
      <c r="B626">
        <v>7916.8798829999996</v>
      </c>
      <c r="C626" s="2">
        <f t="shared" si="54"/>
        <v>-5.0545940835232894E-2</v>
      </c>
      <c r="D626">
        <f t="shared" si="57"/>
        <v>8404.1498046000015</v>
      </c>
      <c r="E626">
        <f t="shared" si="58"/>
        <v>0</v>
      </c>
      <c r="F626" s="2">
        <f t="shared" si="59"/>
        <v>0</v>
      </c>
      <c r="G626" s="2">
        <f t="shared" si="55"/>
        <v>11.70623460314579</v>
      </c>
      <c r="H626" s="2">
        <f t="shared" si="56"/>
        <v>21.7958625456771</v>
      </c>
    </row>
    <row r="627" spans="1:8" x14ac:dyDescent="0.3">
      <c r="A627" s="1">
        <v>43177</v>
      </c>
      <c r="B627">
        <v>8223.6796880000002</v>
      </c>
      <c r="C627" s="2">
        <f t="shared" si="54"/>
        <v>3.8752615870653262E-2</v>
      </c>
      <c r="D627">
        <f t="shared" si="57"/>
        <v>8209.9158204000014</v>
      </c>
      <c r="E627">
        <f t="shared" si="58"/>
        <v>1</v>
      </c>
      <c r="F627" s="2">
        <f t="shared" si="59"/>
        <v>0</v>
      </c>
      <c r="G627" s="2">
        <f t="shared" si="55"/>
        <v>12.159881816013247</v>
      </c>
      <c r="H627" s="2">
        <f t="shared" si="56"/>
        <v>21.7958625456771</v>
      </c>
    </row>
    <row r="628" spans="1:8" x14ac:dyDescent="0.3">
      <c r="A628" s="1">
        <v>43178</v>
      </c>
      <c r="B628">
        <v>8630.6503909999992</v>
      </c>
      <c r="C628" s="2">
        <f t="shared" si="54"/>
        <v>4.9487664700006651E-2</v>
      </c>
      <c r="D628">
        <f t="shared" si="57"/>
        <v>8282.0839846000017</v>
      </c>
      <c r="E628">
        <f t="shared" si="58"/>
        <v>1</v>
      </c>
      <c r="F628" s="2">
        <f t="shared" si="59"/>
        <v>4.9487664700006651E-2</v>
      </c>
      <c r="G628" s="2">
        <f t="shared" si="55"/>
        <v>12.761645970115818</v>
      </c>
      <c r="H628" s="2">
        <f t="shared" si="56"/>
        <v>22.874488883185002</v>
      </c>
    </row>
    <row r="629" spans="1:8" x14ac:dyDescent="0.3">
      <c r="A629" s="1">
        <v>43179</v>
      </c>
      <c r="B629">
        <v>8913.4697269999997</v>
      </c>
      <c r="C629" s="2">
        <f t="shared" si="54"/>
        <v>3.2769179979173169E-2</v>
      </c>
      <c r="D629">
        <f t="shared" si="57"/>
        <v>8404.6058596000021</v>
      </c>
      <c r="E629">
        <f t="shared" si="58"/>
        <v>1</v>
      </c>
      <c r="F629" s="2">
        <f t="shared" si="59"/>
        <v>3.2769179979173169E-2</v>
      </c>
      <c r="G629" s="2">
        <f t="shared" si="55"/>
        <v>13.179834643741033</v>
      </c>
      <c r="H629" s="2">
        <f t="shared" si="56"/>
        <v>23.624067126329688</v>
      </c>
    </row>
    <row r="630" spans="1:8" x14ac:dyDescent="0.3">
      <c r="A630" s="1">
        <v>43180</v>
      </c>
      <c r="B630">
        <v>8929.2802730000003</v>
      </c>
      <c r="C630" s="2">
        <f t="shared" si="54"/>
        <v>1.7737813089899745E-3</v>
      </c>
      <c r="D630">
        <f t="shared" si="57"/>
        <v>8522.791992399998</v>
      </c>
      <c r="E630">
        <f t="shared" si="58"/>
        <v>1</v>
      </c>
      <c r="F630" s="2">
        <f t="shared" si="59"/>
        <v>1.7737813089899745E-3</v>
      </c>
      <c r="G630" s="2">
        <f t="shared" si="55"/>
        <v>13.203212788087679</v>
      </c>
      <c r="H630" s="2">
        <f t="shared" si="56"/>
        <v>23.665971055040696</v>
      </c>
    </row>
    <row r="631" spans="1:8" x14ac:dyDescent="0.3">
      <c r="A631" s="1">
        <v>43181</v>
      </c>
      <c r="B631">
        <v>8728.4697269999997</v>
      </c>
      <c r="C631" s="2">
        <f t="shared" si="54"/>
        <v>-2.2488995737674822E-2</v>
      </c>
      <c r="D631">
        <f t="shared" si="57"/>
        <v>8685.1099611999998</v>
      </c>
      <c r="E631">
        <f t="shared" si="58"/>
        <v>1</v>
      </c>
      <c r="F631" s="2">
        <f t="shared" si="59"/>
        <v>-2.2488995737674822E-2</v>
      </c>
      <c r="G631" s="2">
        <f t="shared" si="55"/>
        <v>12.906285791972762</v>
      </c>
      <c r="H631" s="2">
        <f t="shared" si="56"/>
        <v>23.133747132855952</v>
      </c>
    </row>
    <row r="632" spans="1:8" x14ac:dyDescent="0.3">
      <c r="A632" s="1">
        <v>43182</v>
      </c>
      <c r="B632">
        <v>8879.6201170000004</v>
      </c>
      <c r="C632" s="2">
        <f t="shared" si="54"/>
        <v>1.731694039476861E-2</v>
      </c>
      <c r="D632">
        <f t="shared" si="57"/>
        <v>8816.2980470000002</v>
      </c>
      <c r="E632">
        <f t="shared" si="58"/>
        <v>1</v>
      </c>
      <c r="F632" s="2">
        <f t="shared" si="59"/>
        <v>1.731694039476861E-2</v>
      </c>
      <c r="G632" s="2">
        <f t="shared" si="55"/>
        <v>13.129783173750203</v>
      </c>
      <c r="H632" s="2">
        <f t="shared" si="56"/>
        <v>23.534352853063268</v>
      </c>
    </row>
    <row r="633" spans="1:8" x14ac:dyDescent="0.3">
      <c r="A633" s="1">
        <v>43183</v>
      </c>
      <c r="B633">
        <v>8668.1201170000004</v>
      </c>
      <c r="C633" s="2">
        <f t="shared" si="54"/>
        <v>-2.3818586517579066E-2</v>
      </c>
      <c r="D633">
        <f t="shared" si="57"/>
        <v>8823.7919922000001</v>
      </c>
      <c r="E633">
        <f t="shared" si="58"/>
        <v>0</v>
      </c>
      <c r="F633" s="2">
        <f t="shared" si="59"/>
        <v>-2.3818586517579066E-2</v>
      </c>
      <c r="G633" s="2">
        <f t="shared" si="55"/>
        <v>12.81705029726918</v>
      </c>
      <c r="H633" s="2">
        <f t="shared" si="56"/>
        <v>22.973797833497347</v>
      </c>
    </row>
    <row r="634" spans="1:8" x14ac:dyDescent="0.3">
      <c r="A634" s="1">
        <v>43184</v>
      </c>
      <c r="B634">
        <v>8495.7802730000003</v>
      </c>
      <c r="C634" s="2">
        <f t="shared" si="54"/>
        <v>-1.9882032283102036E-2</v>
      </c>
      <c r="D634">
        <f t="shared" si="57"/>
        <v>8740.254101399998</v>
      </c>
      <c r="E634">
        <f t="shared" si="58"/>
        <v>0</v>
      </c>
      <c r="F634" s="2">
        <f t="shared" si="59"/>
        <v>0</v>
      </c>
      <c r="G634" s="2">
        <f t="shared" si="55"/>
        <v>12.562221289484732</v>
      </c>
      <c r="H634" s="2">
        <f t="shared" si="56"/>
        <v>22.973797833497347</v>
      </c>
    </row>
    <row r="635" spans="1:8" x14ac:dyDescent="0.3">
      <c r="A635" s="1">
        <v>43185</v>
      </c>
      <c r="B635">
        <v>8209.4003909999992</v>
      </c>
      <c r="C635" s="2">
        <f t="shared" si="54"/>
        <v>-3.3708485012274858E-2</v>
      </c>
      <c r="D635">
        <f t="shared" si="57"/>
        <v>8596.2781250000007</v>
      </c>
      <c r="E635">
        <f t="shared" si="58"/>
        <v>0</v>
      </c>
      <c r="F635" s="2">
        <f t="shared" si="59"/>
        <v>0</v>
      </c>
      <c r="G635" s="2">
        <f t="shared" si="55"/>
        <v>12.138767841427256</v>
      </c>
      <c r="H635" s="2">
        <f t="shared" si="56"/>
        <v>22.973797833497347</v>
      </c>
    </row>
    <row r="636" spans="1:8" x14ac:dyDescent="0.3">
      <c r="A636" s="1">
        <v>43186</v>
      </c>
      <c r="B636">
        <v>7833.0400390000004</v>
      </c>
      <c r="C636" s="2">
        <f t="shared" si="54"/>
        <v>-4.5845047637413816E-2</v>
      </c>
      <c r="D636">
        <f t="shared" si="57"/>
        <v>8417.1921874</v>
      </c>
      <c r="E636">
        <f t="shared" si="58"/>
        <v>0</v>
      </c>
      <c r="F636" s="2">
        <f t="shared" si="59"/>
        <v>0</v>
      </c>
      <c r="G636" s="2">
        <f t="shared" si="55"/>
        <v>11.582265451477516</v>
      </c>
      <c r="H636" s="2">
        <f t="shared" si="56"/>
        <v>22.973797833497347</v>
      </c>
    </row>
    <row r="637" spans="1:8" x14ac:dyDescent="0.3">
      <c r="A637" s="1">
        <v>43187</v>
      </c>
      <c r="B637">
        <v>7954.4799800000001</v>
      </c>
      <c r="C637" s="2">
        <f t="shared" si="54"/>
        <v>1.5503551672832128E-2</v>
      </c>
      <c r="D637">
        <f t="shared" si="57"/>
        <v>8232.1641600000003</v>
      </c>
      <c r="E637">
        <f t="shared" si="58"/>
        <v>0</v>
      </c>
      <c r="F637" s="2">
        <f t="shared" si="59"/>
        <v>0</v>
      </c>
      <c r="G637" s="2">
        <f t="shared" si="55"/>
        <v>11.761831702392957</v>
      </c>
      <c r="H637" s="2">
        <f t="shared" si="56"/>
        <v>22.973797833497347</v>
      </c>
    </row>
    <row r="638" spans="1:8" x14ac:dyDescent="0.3">
      <c r="A638" s="1">
        <v>43188</v>
      </c>
      <c r="B638">
        <v>7165.7001950000003</v>
      </c>
      <c r="C638" s="2">
        <f t="shared" si="54"/>
        <v>-9.9161703465623585E-2</v>
      </c>
      <c r="D638">
        <f t="shared" si="57"/>
        <v>7931.6801756000004</v>
      </c>
      <c r="E638">
        <f t="shared" si="58"/>
        <v>0</v>
      </c>
      <c r="F638" s="2">
        <f t="shared" si="59"/>
        <v>0</v>
      </c>
      <c r="G638" s="2">
        <f t="shared" si="55"/>
        <v>10.595508434907696</v>
      </c>
      <c r="H638" s="2">
        <f t="shared" si="56"/>
        <v>22.973797833497347</v>
      </c>
    </row>
    <row r="639" spans="1:8" x14ac:dyDescent="0.3">
      <c r="A639" s="1">
        <v>43189</v>
      </c>
      <c r="B639">
        <v>6890.5200199999999</v>
      </c>
      <c r="C639" s="2">
        <f t="shared" si="54"/>
        <v>-3.8402412536323038E-2</v>
      </c>
      <c r="D639">
        <f t="shared" si="57"/>
        <v>7610.6281250000002</v>
      </c>
      <c r="E639">
        <f t="shared" si="58"/>
        <v>0</v>
      </c>
      <c r="F639" s="2">
        <f t="shared" si="59"/>
        <v>0</v>
      </c>
      <c r="G639" s="2">
        <f t="shared" si="55"/>
        <v>10.18861534895828</v>
      </c>
      <c r="H639" s="2">
        <f t="shared" si="56"/>
        <v>22.973797833497347</v>
      </c>
    </row>
    <row r="640" spans="1:8" x14ac:dyDescent="0.3">
      <c r="A640" s="1">
        <v>43190</v>
      </c>
      <c r="B640">
        <v>6973.5297849999997</v>
      </c>
      <c r="C640" s="2">
        <f t="shared" si="54"/>
        <v>1.2046952154417978E-2</v>
      </c>
      <c r="D640">
        <f t="shared" si="57"/>
        <v>7363.4540038000005</v>
      </c>
      <c r="E640">
        <f t="shared" si="58"/>
        <v>0</v>
      </c>
      <c r="F640" s="2">
        <f t="shared" si="59"/>
        <v>0</v>
      </c>
      <c r="G640" s="2">
        <f t="shared" si="55"/>
        <v>10.311357110586949</v>
      </c>
      <c r="H640" s="2">
        <f t="shared" si="56"/>
        <v>22.973797833497347</v>
      </c>
    </row>
    <row r="641" spans="1:8" x14ac:dyDescent="0.3">
      <c r="A641" s="1">
        <v>43191</v>
      </c>
      <c r="B641">
        <v>6844.2299800000001</v>
      </c>
      <c r="C641" s="2">
        <f t="shared" si="54"/>
        <v>-1.8541514697208661E-2</v>
      </c>
      <c r="D641">
        <f t="shared" si="57"/>
        <v>7165.691992</v>
      </c>
      <c r="E641">
        <f t="shared" si="58"/>
        <v>0</v>
      </c>
      <c r="F641" s="2">
        <f t="shared" si="59"/>
        <v>0</v>
      </c>
      <c r="G641" s="2">
        <f t="shared" si="55"/>
        <v>10.120168931172834</v>
      </c>
      <c r="H641" s="2">
        <f t="shared" si="56"/>
        <v>22.973797833497347</v>
      </c>
    </row>
    <row r="642" spans="1:8" x14ac:dyDescent="0.3">
      <c r="A642" s="1">
        <v>43192</v>
      </c>
      <c r="B642">
        <v>7083.7998049999997</v>
      </c>
      <c r="C642" s="2">
        <f t="shared" si="54"/>
        <v>3.5003181614303269E-2</v>
      </c>
      <c r="D642">
        <f t="shared" si="57"/>
        <v>6991.5559569999996</v>
      </c>
      <c r="E642">
        <f t="shared" si="58"/>
        <v>1</v>
      </c>
      <c r="F642" s="2">
        <f t="shared" si="59"/>
        <v>0</v>
      </c>
      <c r="G642" s="2">
        <f t="shared" si="55"/>
        <v>10.474407042238106</v>
      </c>
      <c r="H642" s="2">
        <f t="shared" si="56"/>
        <v>22.973797833497347</v>
      </c>
    </row>
    <row r="643" spans="1:8" x14ac:dyDescent="0.3">
      <c r="A643" s="1">
        <v>43193</v>
      </c>
      <c r="B643">
        <v>7456.1098629999997</v>
      </c>
      <c r="C643" s="2">
        <f t="shared" si="54"/>
        <v>5.2557958757842194E-2</v>
      </c>
      <c r="D643">
        <f t="shared" si="57"/>
        <v>7049.6378906</v>
      </c>
      <c r="E643">
        <f t="shared" si="58"/>
        <v>1</v>
      </c>
      <c r="F643" s="2">
        <f t="shared" si="59"/>
        <v>5.2557958757842194E-2</v>
      </c>
      <c r="G643" s="2">
        <f t="shared" si="55"/>
        <v>11.024920495576907</v>
      </c>
      <c r="H643" s="2">
        <f t="shared" si="56"/>
        <v>24.181253752541306</v>
      </c>
    </row>
    <row r="644" spans="1:8" x14ac:dyDescent="0.3">
      <c r="A644" s="1">
        <v>43194</v>
      </c>
      <c r="B644">
        <v>6853.8398440000001</v>
      </c>
      <c r="C644" s="2">
        <f t="shared" ref="C644:C707" si="60">B644/B643-1</f>
        <v>-8.0775368129792247E-2</v>
      </c>
      <c r="D644">
        <f t="shared" si="57"/>
        <v>7042.3018553999991</v>
      </c>
      <c r="E644">
        <f t="shared" si="58"/>
        <v>0</v>
      </c>
      <c r="F644" s="2">
        <f t="shared" si="59"/>
        <v>-8.0775368129792247E-2</v>
      </c>
      <c r="G644" s="2">
        <f t="shared" ref="G644:G707" si="61">(1+C644)*G643</f>
        <v>10.134378483944991</v>
      </c>
      <c r="H644" s="2">
        <f t="shared" ref="H644:H707" si="62">(1+F644)*H643</f>
        <v>22.228004078839863</v>
      </c>
    </row>
    <row r="645" spans="1:8" x14ac:dyDescent="0.3">
      <c r="A645" s="1">
        <v>43195</v>
      </c>
      <c r="B645">
        <v>6811.4702150000003</v>
      </c>
      <c r="C645" s="2">
        <f t="shared" si="60"/>
        <v>-6.1818819762896604E-3</v>
      </c>
      <c r="D645">
        <f t="shared" si="57"/>
        <v>7009.8899413999998</v>
      </c>
      <c r="E645">
        <f t="shared" si="58"/>
        <v>0</v>
      </c>
      <c r="F645" s="2">
        <f t="shared" si="59"/>
        <v>0</v>
      </c>
      <c r="G645" s="2">
        <f t="shared" si="61"/>
        <v>10.071728952254194</v>
      </c>
      <c r="H645" s="2">
        <f t="shared" si="62"/>
        <v>22.228004078839863</v>
      </c>
    </row>
    <row r="646" spans="1:8" x14ac:dyDescent="0.3">
      <c r="A646" s="1">
        <v>43196</v>
      </c>
      <c r="B646">
        <v>6636.3198240000002</v>
      </c>
      <c r="C646" s="2">
        <f t="shared" si="60"/>
        <v>-2.571403609962053E-2</v>
      </c>
      <c r="D646">
        <f t="shared" si="57"/>
        <v>6968.3079102000002</v>
      </c>
      <c r="E646">
        <f t="shared" si="58"/>
        <v>0</v>
      </c>
      <c r="F646" s="2">
        <f t="shared" si="59"/>
        <v>0</v>
      </c>
      <c r="G646" s="2">
        <f t="shared" si="61"/>
        <v>9.812744150390337</v>
      </c>
      <c r="H646" s="2">
        <f t="shared" si="62"/>
        <v>22.228004078839863</v>
      </c>
    </row>
    <row r="647" spans="1:8" x14ac:dyDescent="0.3">
      <c r="A647" s="1">
        <v>43197</v>
      </c>
      <c r="B647">
        <v>6911.0898440000001</v>
      </c>
      <c r="C647" s="2">
        <f t="shared" si="60"/>
        <v>4.1403974987206604E-2</v>
      </c>
      <c r="D647">
        <f t="shared" ref="D647:D710" si="63">AVERAGE(B643:B647)</f>
        <v>6933.7659180000001</v>
      </c>
      <c r="E647">
        <f t="shared" ref="E647:E710" si="64">IF(B647&gt;D647,1,0)</f>
        <v>0</v>
      </c>
      <c r="F647" s="2">
        <f t="shared" si="59"/>
        <v>0</v>
      </c>
      <c r="G647" s="2">
        <f t="shared" si="61"/>
        <v>10.219030763748956</v>
      </c>
      <c r="H647" s="2">
        <f t="shared" si="62"/>
        <v>22.228004078839863</v>
      </c>
    </row>
    <row r="648" spans="1:8" x14ac:dyDescent="0.3">
      <c r="A648" s="1">
        <v>43198</v>
      </c>
      <c r="B648">
        <v>7023.5200199999999</v>
      </c>
      <c r="C648" s="2">
        <f t="shared" si="60"/>
        <v>1.626808195781293E-2</v>
      </c>
      <c r="D648">
        <f t="shared" si="63"/>
        <v>6847.2479493999999</v>
      </c>
      <c r="E648">
        <f t="shared" si="64"/>
        <v>1</v>
      </c>
      <c r="F648" s="2">
        <f t="shared" ref="F648:F711" si="65">E647*C648</f>
        <v>0</v>
      </c>
      <c r="G648" s="2">
        <f t="shared" si="61"/>
        <v>10.385274793743035</v>
      </c>
      <c r="H648" s="2">
        <f t="shared" si="62"/>
        <v>22.228004078839863</v>
      </c>
    </row>
    <row r="649" spans="1:8" x14ac:dyDescent="0.3">
      <c r="A649" s="1">
        <v>43199</v>
      </c>
      <c r="B649">
        <v>6770.7299800000001</v>
      </c>
      <c r="C649" s="2">
        <f t="shared" si="60"/>
        <v>-3.5991929869945705E-2</v>
      </c>
      <c r="D649">
        <f t="shared" si="63"/>
        <v>6830.6259766000003</v>
      </c>
      <c r="E649">
        <f t="shared" si="64"/>
        <v>0</v>
      </c>
      <c r="F649" s="2">
        <f t="shared" si="65"/>
        <v>-3.5991929869945705E-2</v>
      </c>
      <c r="G649" s="2">
        <f t="shared" si="61"/>
        <v>10.011488711686521</v>
      </c>
      <c r="H649" s="2">
        <f t="shared" si="62"/>
        <v>21.427975314885391</v>
      </c>
    </row>
    <row r="650" spans="1:8" x14ac:dyDescent="0.3">
      <c r="A650" s="1">
        <v>43200</v>
      </c>
      <c r="B650">
        <v>6834.7597660000001</v>
      </c>
      <c r="C650" s="2">
        <f t="shared" si="60"/>
        <v>9.4568512094170831E-3</v>
      </c>
      <c r="D650">
        <f t="shared" si="63"/>
        <v>6835.2838868000008</v>
      </c>
      <c r="E650">
        <f t="shared" si="64"/>
        <v>0</v>
      </c>
      <c r="F650" s="2">
        <f t="shared" si="65"/>
        <v>0</v>
      </c>
      <c r="G650" s="2">
        <f t="shared" si="61"/>
        <v>10.1061658708177</v>
      </c>
      <c r="H650" s="2">
        <f t="shared" si="62"/>
        <v>21.427975314885391</v>
      </c>
    </row>
    <row r="651" spans="1:8" x14ac:dyDescent="0.3">
      <c r="A651" s="1">
        <v>43201</v>
      </c>
      <c r="B651">
        <v>6968.3198240000002</v>
      </c>
      <c r="C651" s="2">
        <f t="shared" si="60"/>
        <v>1.9541295169495765E-2</v>
      </c>
      <c r="D651">
        <f t="shared" si="63"/>
        <v>6901.6838868000004</v>
      </c>
      <c r="E651">
        <f t="shared" si="64"/>
        <v>1</v>
      </c>
      <c r="F651" s="2">
        <f t="shared" si="65"/>
        <v>0</v>
      </c>
      <c r="G651" s="2">
        <f t="shared" si="61"/>
        <v>10.303653441131232</v>
      </c>
      <c r="H651" s="2">
        <f t="shared" si="62"/>
        <v>21.427975314885391</v>
      </c>
    </row>
    <row r="652" spans="1:8" x14ac:dyDescent="0.3">
      <c r="A652" s="1">
        <v>43202</v>
      </c>
      <c r="B652">
        <v>7889.25</v>
      </c>
      <c r="C652" s="2">
        <f t="shared" si="60"/>
        <v>0.13215957350696939</v>
      </c>
      <c r="D652">
        <f t="shared" si="63"/>
        <v>7097.3159180000002</v>
      </c>
      <c r="E652">
        <f t="shared" si="64"/>
        <v>1</v>
      </c>
      <c r="F652" s="2">
        <f t="shared" si="65"/>
        <v>0.13215957350696939</v>
      </c>
      <c r="G652" s="2">
        <f t="shared" si="61"/>
        <v>11.665379885474753</v>
      </c>
      <c r="H652" s="2">
        <f t="shared" si="62"/>
        <v>24.259887393618513</v>
      </c>
    </row>
    <row r="653" spans="1:8" x14ac:dyDescent="0.3">
      <c r="A653" s="1">
        <v>43203</v>
      </c>
      <c r="B653">
        <v>7895.9599609999996</v>
      </c>
      <c r="C653" s="2">
        <f t="shared" si="60"/>
        <v>8.5051950438885804E-4</v>
      </c>
      <c r="D653">
        <f t="shared" si="63"/>
        <v>7271.8039061999998</v>
      </c>
      <c r="E653">
        <f t="shared" si="64"/>
        <v>1</v>
      </c>
      <c r="F653" s="2">
        <f t="shared" si="65"/>
        <v>8.5051950438885804E-4</v>
      </c>
      <c r="G653" s="2">
        <f t="shared" si="61"/>
        <v>11.675301518593454</v>
      </c>
      <c r="H653" s="2">
        <f t="shared" si="62"/>
        <v>24.280520901021063</v>
      </c>
    </row>
    <row r="654" spans="1:8" x14ac:dyDescent="0.3">
      <c r="A654" s="1">
        <v>43204</v>
      </c>
      <c r="B654">
        <v>7986.2402339999999</v>
      </c>
      <c r="C654" s="2">
        <f t="shared" si="60"/>
        <v>1.143372983727331E-2</v>
      </c>
      <c r="D654">
        <f t="shared" si="63"/>
        <v>7514.9059569999999</v>
      </c>
      <c r="E654">
        <f t="shared" si="64"/>
        <v>1</v>
      </c>
      <c r="F654" s="2">
        <f t="shared" si="65"/>
        <v>1.143372983727331E-2</v>
      </c>
      <c r="G654" s="2">
        <f t="shared" si="61"/>
        <v>11.808793761925758</v>
      </c>
      <c r="H654" s="2">
        <f t="shared" si="62"/>
        <v>24.558137817311607</v>
      </c>
    </row>
    <row r="655" spans="1:8" x14ac:dyDescent="0.3">
      <c r="A655" s="1">
        <v>43205</v>
      </c>
      <c r="B655">
        <v>8329.1103519999997</v>
      </c>
      <c r="C655" s="2">
        <f t="shared" si="60"/>
        <v>4.2932607579257542E-2</v>
      </c>
      <c r="D655">
        <f t="shared" si="63"/>
        <v>7813.7760742</v>
      </c>
      <c r="E655">
        <f t="shared" si="64"/>
        <v>1</v>
      </c>
      <c r="F655" s="2">
        <f t="shared" si="65"/>
        <v>4.2932607579257542E-2</v>
      </c>
      <c r="G655" s="2">
        <f t="shared" si="61"/>
        <v>12.3157760704909</v>
      </c>
      <c r="H655" s="2">
        <f t="shared" si="62"/>
        <v>25.61248271109957</v>
      </c>
    </row>
    <row r="656" spans="1:8" x14ac:dyDescent="0.3">
      <c r="A656" s="1">
        <v>43206</v>
      </c>
      <c r="B656">
        <v>8058.669922</v>
      </c>
      <c r="C656" s="2">
        <f t="shared" si="60"/>
        <v>-3.2469305672611415E-2</v>
      </c>
      <c r="D656">
        <f t="shared" si="63"/>
        <v>8031.8460938000007</v>
      </c>
      <c r="E656">
        <f t="shared" si="64"/>
        <v>1</v>
      </c>
      <c r="F656" s="2">
        <f t="shared" si="65"/>
        <v>-3.2469305672611415E-2</v>
      </c>
      <c r="G656" s="2">
        <f t="shared" si="61"/>
        <v>11.915891372662697</v>
      </c>
      <c r="H656" s="2">
        <f t="shared" si="62"/>
        <v>24.780863180918402</v>
      </c>
    </row>
    <row r="657" spans="1:8" x14ac:dyDescent="0.3">
      <c r="A657" s="1">
        <v>43207</v>
      </c>
      <c r="B657">
        <v>7902.0898440000001</v>
      </c>
      <c r="C657" s="2">
        <f t="shared" si="60"/>
        <v>-1.9430015066449036E-2</v>
      </c>
      <c r="D657">
        <f t="shared" si="63"/>
        <v>8034.4140626000008</v>
      </c>
      <c r="E657">
        <f t="shared" si="64"/>
        <v>0</v>
      </c>
      <c r="F657" s="2">
        <f t="shared" si="65"/>
        <v>-1.9430015066449036E-2</v>
      </c>
      <c r="G657" s="2">
        <f t="shared" si="61"/>
        <v>11.68436542376169</v>
      </c>
      <c r="H657" s="2">
        <f t="shared" si="62"/>
        <v>24.299370635953544</v>
      </c>
    </row>
    <row r="658" spans="1:8" x14ac:dyDescent="0.3">
      <c r="A658" s="1">
        <v>43208</v>
      </c>
      <c r="B658">
        <v>8163.419922</v>
      </c>
      <c r="C658" s="2">
        <f t="shared" si="60"/>
        <v>3.3071008196448926E-2</v>
      </c>
      <c r="D658">
        <f t="shared" si="63"/>
        <v>8087.9060548000007</v>
      </c>
      <c r="E658">
        <f t="shared" si="64"/>
        <v>1</v>
      </c>
      <c r="F658" s="2">
        <f t="shared" si="65"/>
        <v>0</v>
      </c>
      <c r="G658" s="2">
        <f t="shared" si="61"/>
        <v>12.070779168461218</v>
      </c>
      <c r="H658" s="2">
        <f t="shared" si="62"/>
        <v>24.299370635953544</v>
      </c>
    </row>
    <row r="659" spans="1:8" x14ac:dyDescent="0.3">
      <c r="A659" s="1">
        <v>43209</v>
      </c>
      <c r="B659">
        <v>8294.3095699999994</v>
      </c>
      <c r="C659" s="2">
        <f t="shared" si="60"/>
        <v>1.6033678194999901E-2</v>
      </c>
      <c r="D659">
        <f t="shared" si="63"/>
        <v>8149.5199219999995</v>
      </c>
      <c r="E659">
        <f t="shared" si="64"/>
        <v>1</v>
      </c>
      <c r="F659" s="2">
        <f t="shared" si="65"/>
        <v>1.6033678194999901E-2</v>
      </c>
      <c r="G659" s="2">
        <f t="shared" si="61"/>
        <v>12.264318157211234</v>
      </c>
      <c r="H659" s="2">
        <f t="shared" si="62"/>
        <v>24.688978925071453</v>
      </c>
    </row>
    <row r="660" spans="1:8" x14ac:dyDescent="0.3">
      <c r="A660" s="1">
        <v>43210</v>
      </c>
      <c r="B660">
        <v>8845.8300780000009</v>
      </c>
      <c r="C660" s="2">
        <f t="shared" si="60"/>
        <v>6.6493841753244576E-2</v>
      </c>
      <c r="D660">
        <f t="shared" si="63"/>
        <v>8252.8638671999997</v>
      </c>
      <c r="E660">
        <f t="shared" si="64"/>
        <v>1</v>
      </c>
      <c r="F660" s="2">
        <f t="shared" si="65"/>
        <v>6.6493841753244576E-2</v>
      </c>
      <c r="G660" s="2">
        <f t="shared" si="61"/>
        <v>13.079819787968281</v>
      </c>
      <c r="H660" s="2">
        <f t="shared" si="62"/>
        <v>26.330643982764343</v>
      </c>
    </row>
    <row r="661" spans="1:8" x14ac:dyDescent="0.3">
      <c r="A661" s="1">
        <v>43211</v>
      </c>
      <c r="B661">
        <v>8895.5800780000009</v>
      </c>
      <c r="C661" s="2">
        <f t="shared" si="60"/>
        <v>5.6241188855448154E-3</v>
      </c>
      <c r="D661">
        <f t="shared" si="63"/>
        <v>8420.2458984000004</v>
      </c>
      <c r="E661">
        <f t="shared" si="64"/>
        <v>1</v>
      </c>
      <c r="F661" s="2">
        <f t="shared" si="65"/>
        <v>5.6241188855448154E-3</v>
      </c>
      <c r="G661" s="2">
        <f t="shared" si="61"/>
        <v>13.153382249457316</v>
      </c>
      <c r="H661" s="2">
        <f t="shared" si="62"/>
        <v>26.478730654856363</v>
      </c>
    </row>
    <row r="662" spans="1:8" x14ac:dyDescent="0.3">
      <c r="A662" s="1">
        <v>43212</v>
      </c>
      <c r="B662">
        <v>8802.4599610000005</v>
      </c>
      <c r="C662" s="2">
        <f t="shared" si="60"/>
        <v>-1.0468133183388351E-2</v>
      </c>
      <c r="D662">
        <f t="shared" si="63"/>
        <v>8600.3199217999991</v>
      </c>
      <c r="E662">
        <f t="shared" si="64"/>
        <v>1</v>
      </c>
      <c r="F662" s="2">
        <f t="shared" si="65"/>
        <v>-1.0468133183388351E-2</v>
      </c>
      <c r="G662" s="2">
        <f t="shared" si="61"/>
        <v>13.015690892257981</v>
      </c>
      <c r="H662" s="2">
        <f t="shared" si="62"/>
        <v>26.201547775834261</v>
      </c>
    </row>
    <row r="663" spans="1:8" x14ac:dyDescent="0.3">
      <c r="A663" s="1">
        <v>43213</v>
      </c>
      <c r="B663">
        <v>8930.8798829999996</v>
      </c>
      <c r="C663" s="2">
        <f t="shared" si="60"/>
        <v>1.4589094704091199E-2</v>
      </c>
      <c r="D663">
        <f t="shared" si="63"/>
        <v>8753.8119140000017</v>
      </c>
      <c r="E663">
        <f t="shared" si="64"/>
        <v>1</v>
      </c>
      <c r="F663" s="2">
        <f t="shared" si="65"/>
        <v>1.4589094704091199E-2</v>
      </c>
      <c r="G663" s="2">
        <f t="shared" si="61"/>
        <v>13.20557803932431</v>
      </c>
      <c r="H663" s="2">
        <f t="shared" si="62"/>
        <v>26.583804637729678</v>
      </c>
    </row>
    <row r="664" spans="1:8" x14ac:dyDescent="0.3">
      <c r="A664" s="1">
        <v>43214</v>
      </c>
      <c r="B664">
        <v>9697.5</v>
      </c>
      <c r="C664" s="2">
        <f t="shared" si="60"/>
        <v>8.5839259629867826E-2</v>
      </c>
      <c r="D664">
        <f t="shared" si="63"/>
        <v>9034.4500000000007</v>
      </c>
      <c r="E664">
        <f t="shared" si="64"/>
        <v>1</v>
      </c>
      <c r="F664" s="2">
        <f t="shared" si="65"/>
        <v>8.5839259629867826E-2</v>
      </c>
      <c r="G664" s="2">
        <f t="shared" si="61"/>
        <v>14.339135081204351</v>
      </c>
      <c r="H664" s="2">
        <f t="shared" si="62"/>
        <v>28.865738745977438</v>
      </c>
    </row>
    <row r="665" spans="1:8" x14ac:dyDescent="0.3">
      <c r="A665" s="1">
        <v>43215</v>
      </c>
      <c r="B665">
        <v>8845.7402340000008</v>
      </c>
      <c r="C665" s="2">
        <f t="shared" si="60"/>
        <v>-8.7832922505800437E-2</v>
      </c>
      <c r="D665">
        <f t="shared" si="63"/>
        <v>9034.4320312</v>
      </c>
      <c r="E665">
        <f t="shared" si="64"/>
        <v>0</v>
      </c>
      <c r="F665" s="2">
        <f t="shared" si="65"/>
        <v>-8.7832922505800437E-2</v>
      </c>
      <c r="G665" s="2">
        <f t="shared" si="61"/>
        <v>13.079686940816725</v>
      </c>
      <c r="H665" s="2">
        <f t="shared" si="62"/>
        <v>26.330376551629321</v>
      </c>
    </row>
    <row r="666" spans="1:8" x14ac:dyDescent="0.3">
      <c r="A666" s="1">
        <v>43216</v>
      </c>
      <c r="B666">
        <v>9281.5097659999992</v>
      </c>
      <c r="C666" s="2">
        <f t="shared" si="60"/>
        <v>4.9263206975607154E-2</v>
      </c>
      <c r="D666">
        <f t="shared" si="63"/>
        <v>9111.6179688000011</v>
      </c>
      <c r="E666">
        <f t="shared" si="64"/>
        <v>1</v>
      </c>
      <c r="F666" s="2">
        <f t="shared" si="65"/>
        <v>0</v>
      </c>
      <c r="G666" s="2">
        <f t="shared" si="61"/>
        <v>13.724034265758325</v>
      </c>
      <c r="H666" s="2">
        <f t="shared" si="62"/>
        <v>26.330376551629321</v>
      </c>
    </row>
    <row r="667" spans="1:8" x14ac:dyDescent="0.3">
      <c r="A667" s="1">
        <v>43217</v>
      </c>
      <c r="B667">
        <v>8987.0498050000006</v>
      </c>
      <c r="C667" s="2">
        <f t="shared" si="60"/>
        <v>-3.1725437824637548E-2</v>
      </c>
      <c r="D667">
        <f t="shared" si="63"/>
        <v>9148.5359376000015</v>
      </c>
      <c r="E667">
        <f t="shared" si="64"/>
        <v>0</v>
      </c>
      <c r="F667" s="2">
        <f t="shared" si="65"/>
        <v>-3.1725437824637548E-2</v>
      </c>
      <c r="G667" s="2">
        <f t="shared" si="61"/>
        <v>13.288633269956815</v>
      </c>
      <c r="H667" s="2">
        <f t="shared" si="62"/>
        <v>25.495033827441311</v>
      </c>
    </row>
    <row r="668" spans="1:8" x14ac:dyDescent="0.3">
      <c r="A668" s="1">
        <v>43218</v>
      </c>
      <c r="B668">
        <v>9348.4804690000001</v>
      </c>
      <c r="C668" s="2">
        <f t="shared" si="60"/>
        <v>4.0216831089432192E-2</v>
      </c>
      <c r="D668">
        <f t="shared" si="63"/>
        <v>9232.0560548000012</v>
      </c>
      <c r="E668">
        <f t="shared" si="64"/>
        <v>1</v>
      </c>
      <c r="F668" s="2">
        <f t="shared" si="65"/>
        <v>0</v>
      </c>
      <c r="G668" s="2">
        <f t="shared" si="61"/>
        <v>13.823059989584078</v>
      </c>
      <c r="H668" s="2">
        <f t="shared" si="62"/>
        <v>25.495033827441311</v>
      </c>
    </row>
    <row r="669" spans="1:8" x14ac:dyDescent="0.3">
      <c r="A669" s="1">
        <v>43219</v>
      </c>
      <c r="B669">
        <v>9419.0800780000009</v>
      </c>
      <c r="C669" s="2">
        <f t="shared" si="60"/>
        <v>7.5519876448491008E-3</v>
      </c>
      <c r="D669">
        <f t="shared" si="63"/>
        <v>9176.3720704000007</v>
      </c>
      <c r="E669">
        <f t="shared" si="64"/>
        <v>1</v>
      </c>
      <c r="F669" s="2">
        <f t="shared" si="65"/>
        <v>7.5519876448491008E-3</v>
      </c>
      <c r="G669" s="2">
        <f t="shared" si="61"/>
        <v>13.927451567839425</v>
      </c>
      <c r="H669" s="2">
        <f t="shared" si="62"/>
        <v>25.687572007911157</v>
      </c>
    </row>
    <row r="670" spans="1:8" x14ac:dyDescent="0.3">
      <c r="A670" s="1">
        <v>43220</v>
      </c>
      <c r="B670">
        <v>9240.5498050000006</v>
      </c>
      <c r="C670" s="2">
        <f t="shared" si="60"/>
        <v>-1.895410926773955E-2</v>
      </c>
      <c r="D670">
        <f t="shared" si="63"/>
        <v>9255.3339845999999</v>
      </c>
      <c r="E670">
        <f t="shared" si="64"/>
        <v>0</v>
      </c>
      <c r="F670" s="2">
        <f t="shared" si="65"/>
        <v>-1.895410926773955E-2</v>
      </c>
      <c r="G670" s="2">
        <f t="shared" si="61"/>
        <v>13.663469129001445</v>
      </c>
      <c r="H670" s="2">
        <f t="shared" si="62"/>
        <v>25.20068696125028</v>
      </c>
    </row>
    <row r="671" spans="1:8" x14ac:dyDescent="0.3">
      <c r="A671" s="1">
        <v>43221</v>
      </c>
      <c r="B671">
        <v>9119.0097659999992</v>
      </c>
      <c r="C671" s="2">
        <f t="shared" si="60"/>
        <v>-1.3152901241248349E-2</v>
      </c>
      <c r="D671">
        <f t="shared" si="63"/>
        <v>9222.8339846000017</v>
      </c>
      <c r="E671">
        <f t="shared" si="64"/>
        <v>0</v>
      </c>
      <c r="F671" s="2">
        <f t="shared" si="65"/>
        <v>0</v>
      </c>
      <c r="G671" s="2">
        <f t="shared" si="61"/>
        <v>13.483754868934843</v>
      </c>
      <c r="H671" s="2">
        <f t="shared" si="62"/>
        <v>25.20068696125028</v>
      </c>
    </row>
    <row r="672" spans="1:8" x14ac:dyDescent="0.3">
      <c r="A672" s="1">
        <v>43222</v>
      </c>
      <c r="B672">
        <v>9235.9199219999991</v>
      </c>
      <c r="C672" s="2">
        <f t="shared" si="60"/>
        <v>1.2820488079297476E-2</v>
      </c>
      <c r="D672">
        <f t="shared" si="63"/>
        <v>9272.6080080000011</v>
      </c>
      <c r="E672">
        <f t="shared" si="64"/>
        <v>0</v>
      </c>
      <c r="F672" s="2">
        <f t="shared" si="65"/>
        <v>0</v>
      </c>
      <c r="G672" s="2">
        <f t="shared" si="61"/>
        <v>13.656623187496193</v>
      </c>
      <c r="H672" s="2">
        <f t="shared" si="62"/>
        <v>25.20068696125028</v>
      </c>
    </row>
    <row r="673" spans="1:8" x14ac:dyDescent="0.3">
      <c r="A673" s="1">
        <v>43223</v>
      </c>
      <c r="B673">
        <v>9743.8603519999997</v>
      </c>
      <c r="C673" s="2">
        <f t="shared" si="60"/>
        <v>5.4996192505966324E-2</v>
      </c>
      <c r="D673">
        <f t="shared" si="63"/>
        <v>9351.6839845999984</v>
      </c>
      <c r="E673">
        <f t="shared" si="64"/>
        <v>1</v>
      </c>
      <c r="F673" s="2">
        <f t="shared" si="65"/>
        <v>0</v>
      </c>
      <c r="G673" s="2">
        <f t="shared" si="61"/>
        <v>14.407685465297176</v>
      </c>
      <c r="H673" s="2">
        <f t="shared" si="62"/>
        <v>25.20068696125028</v>
      </c>
    </row>
    <row r="674" spans="1:8" x14ac:dyDescent="0.3">
      <c r="A674" s="1">
        <v>43224</v>
      </c>
      <c r="B674">
        <v>9700.7597659999992</v>
      </c>
      <c r="C674" s="2">
        <f t="shared" si="60"/>
        <v>-4.4233583449452274E-3</v>
      </c>
      <c r="D674">
        <f t="shared" si="63"/>
        <v>9408.0199221999992</v>
      </c>
      <c r="E674">
        <f t="shared" si="64"/>
        <v>1</v>
      </c>
      <c r="F674" s="2">
        <f t="shared" si="65"/>
        <v>-4.4233583449452274E-3</v>
      </c>
      <c r="G674" s="2">
        <f t="shared" si="61"/>
        <v>14.343955109562907</v>
      </c>
      <c r="H674" s="2">
        <f t="shared" si="62"/>
        <v>25.089215292281882</v>
      </c>
    </row>
    <row r="675" spans="1:8" x14ac:dyDescent="0.3">
      <c r="A675" s="1">
        <v>43225</v>
      </c>
      <c r="B675">
        <v>9858.1503909999992</v>
      </c>
      <c r="C675" s="2">
        <f t="shared" si="60"/>
        <v>1.6224566817089503E-2</v>
      </c>
      <c r="D675">
        <f t="shared" si="63"/>
        <v>9531.5400393999989</v>
      </c>
      <c r="E675">
        <f t="shared" si="64"/>
        <v>1</v>
      </c>
      <c r="F675" s="2">
        <f t="shared" si="65"/>
        <v>1.6224566817089503E-2</v>
      </c>
      <c r="G675" s="2">
        <f t="shared" si="61"/>
        <v>14.576679567659344</v>
      </c>
      <c r="H675" s="2">
        <f t="shared" si="62"/>
        <v>25.496276942179854</v>
      </c>
    </row>
    <row r="676" spans="1:8" x14ac:dyDescent="0.3">
      <c r="A676" s="1">
        <v>43226</v>
      </c>
      <c r="B676">
        <v>9654.7998050000006</v>
      </c>
      <c r="C676" s="2">
        <f t="shared" si="60"/>
        <v>-2.0627661167113787E-2</v>
      </c>
      <c r="D676">
        <f t="shared" si="63"/>
        <v>9638.6980471999996</v>
      </c>
      <c r="E676">
        <f t="shared" si="64"/>
        <v>1</v>
      </c>
      <c r="F676" s="2">
        <f t="shared" si="65"/>
        <v>-2.0627661167113787E-2</v>
      </c>
      <c r="G676" s="2">
        <f t="shared" si="61"/>
        <v>14.275996760596076</v>
      </c>
      <c r="H676" s="2">
        <f t="shared" si="62"/>
        <v>24.970348380393673</v>
      </c>
    </row>
    <row r="677" spans="1:8" x14ac:dyDescent="0.3">
      <c r="A677" s="1">
        <v>43227</v>
      </c>
      <c r="B677">
        <v>9373.0097659999992</v>
      </c>
      <c r="C677" s="2">
        <f t="shared" si="60"/>
        <v>-2.9186523251789054E-2</v>
      </c>
      <c r="D677">
        <f t="shared" si="63"/>
        <v>9666.1160159999999</v>
      </c>
      <c r="E677">
        <f t="shared" si="64"/>
        <v>0</v>
      </c>
      <c r="F677" s="2">
        <f t="shared" si="65"/>
        <v>-2.9186523251789054E-2</v>
      </c>
      <c r="G677" s="2">
        <f t="shared" si="61"/>
        <v>13.859330049200473</v>
      </c>
      <c r="H677" s="2">
        <f t="shared" si="62"/>
        <v>24.241550726784041</v>
      </c>
    </row>
    <row r="678" spans="1:8" x14ac:dyDescent="0.3">
      <c r="A678" s="1">
        <v>43228</v>
      </c>
      <c r="B678">
        <v>9234.8203130000002</v>
      </c>
      <c r="C678" s="2">
        <f t="shared" si="60"/>
        <v>-1.4743338207250378E-2</v>
      </c>
      <c r="D678">
        <f t="shared" si="63"/>
        <v>9564.3080081999997</v>
      </c>
      <c r="E678">
        <f t="shared" si="64"/>
        <v>0</v>
      </c>
      <c r="F678" s="2">
        <f t="shared" si="65"/>
        <v>0</v>
      </c>
      <c r="G678" s="2">
        <f t="shared" si="61"/>
        <v>13.654997258959202</v>
      </c>
      <c r="H678" s="2">
        <f t="shared" si="62"/>
        <v>24.241550726784041</v>
      </c>
    </row>
    <row r="679" spans="1:8" x14ac:dyDescent="0.3">
      <c r="A679" s="1">
        <v>43229</v>
      </c>
      <c r="B679">
        <v>9325.1796880000002</v>
      </c>
      <c r="C679" s="2">
        <f t="shared" si="60"/>
        <v>9.784638134517909E-3</v>
      </c>
      <c r="D679">
        <f t="shared" si="63"/>
        <v>9489.191992600001</v>
      </c>
      <c r="E679">
        <f t="shared" si="64"/>
        <v>0</v>
      </c>
      <c r="F679" s="2">
        <f t="shared" si="65"/>
        <v>0</v>
      </c>
      <c r="G679" s="2">
        <f t="shared" si="61"/>
        <v>13.788606465865952</v>
      </c>
      <c r="H679" s="2">
        <f t="shared" si="62"/>
        <v>24.241550726784041</v>
      </c>
    </row>
    <row r="680" spans="1:8" x14ac:dyDescent="0.3">
      <c r="A680" s="1">
        <v>43230</v>
      </c>
      <c r="B680">
        <v>9043.9404300000006</v>
      </c>
      <c r="C680" s="2">
        <f t="shared" si="60"/>
        <v>-3.015912480077021E-2</v>
      </c>
      <c r="D680">
        <f t="shared" si="63"/>
        <v>9326.3500003999998</v>
      </c>
      <c r="E680">
        <f t="shared" si="64"/>
        <v>0</v>
      </c>
      <c r="F680" s="2">
        <f t="shared" si="65"/>
        <v>0</v>
      </c>
      <c r="G680" s="2">
        <f t="shared" si="61"/>
        <v>13.372754162633193</v>
      </c>
      <c r="H680" s="2">
        <f t="shared" si="62"/>
        <v>24.241550726784041</v>
      </c>
    </row>
    <row r="681" spans="1:8" x14ac:dyDescent="0.3">
      <c r="A681" s="1">
        <v>43231</v>
      </c>
      <c r="B681">
        <v>8441.4902340000008</v>
      </c>
      <c r="C681" s="2">
        <f t="shared" si="60"/>
        <v>-6.6613684672401141E-2</v>
      </c>
      <c r="D681">
        <f t="shared" si="63"/>
        <v>9083.6880861999998</v>
      </c>
      <c r="E681">
        <f t="shared" si="64"/>
        <v>0</v>
      </c>
      <c r="F681" s="2">
        <f t="shared" si="65"/>
        <v>0</v>
      </c>
      <c r="G681" s="2">
        <f t="shared" si="61"/>
        <v>12.481945733642005</v>
      </c>
      <c r="H681" s="2">
        <f t="shared" si="62"/>
        <v>24.241550726784041</v>
      </c>
    </row>
    <row r="682" spans="1:8" x14ac:dyDescent="0.3">
      <c r="A682" s="1">
        <v>43232</v>
      </c>
      <c r="B682">
        <v>8504.8896480000003</v>
      </c>
      <c r="C682" s="2">
        <f t="shared" si="60"/>
        <v>7.5104528042506669E-3</v>
      </c>
      <c r="D682">
        <f t="shared" si="63"/>
        <v>8910.0640626000004</v>
      </c>
      <c r="E682">
        <f t="shared" si="64"/>
        <v>0</v>
      </c>
      <c r="F682" s="2">
        <f t="shared" si="65"/>
        <v>0</v>
      </c>
      <c r="G682" s="2">
        <f t="shared" si="61"/>
        <v>12.575690797979743</v>
      </c>
      <c r="H682" s="2">
        <f t="shared" si="62"/>
        <v>24.241550726784041</v>
      </c>
    </row>
    <row r="683" spans="1:8" x14ac:dyDescent="0.3">
      <c r="A683" s="1">
        <v>43233</v>
      </c>
      <c r="B683">
        <v>8723.9404300000006</v>
      </c>
      <c r="C683" s="2">
        <f t="shared" si="60"/>
        <v>2.5755864104775483E-2</v>
      </c>
      <c r="D683">
        <f t="shared" si="63"/>
        <v>8807.8880860000008</v>
      </c>
      <c r="E683">
        <f t="shared" si="64"/>
        <v>0</v>
      </c>
      <c r="F683" s="2">
        <f t="shared" si="65"/>
        <v>0</v>
      </c>
      <c r="G683" s="2">
        <f t="shared" si="61"/>
        <v>12.899588581196184</v>
      </c>
      <c r="H683" s="2">
        <f t="shared" si="62"/>
        <v>24.241550726784041</v>
      </c>
    </row>
    <row r="684" spans="1:8" x14ac:dyDescent="0.3">
      <c r="A684" s="1">
        <v>43234</v>
      </c>
      <c r="B684">
        <v>8716.7900389999995</v>
      </c>
      <c r="C684" s="2">
        <f t="shared" si="60"/>
        <v>-8.1962859070106031E-4</v>
      </c>
      <c r="D684">
        <f t="shared" si="63"/>
        <v>8686.2101561999989</v>
      </c>
      <c r="E684">
        <f t="shared" si="64"/>
        <v>1</v>
      </c>
      <c r="F684" s="2">
        <f t="shared" si="65"/>
        <v>0</v>
      </c>
      <c r="G684" s="2">
        <f t="shared" si="61"/>
        <v>12.889015709586754</v>
      </c>
      <c r="H684" s="2">
        <f t="shared" si="62"/>
        <v>24.241550726784041</v>
      </c>
    </row>
    <row r="685" spans="1:8" x14ac:dyDescent="0.3">
      <c r="A685" s="1">
        <v>43235</v>
      </c>
      <c r="B685">
        <v>8510.3798829999996</v>
      </c>
      <c r="C685" s="2">
        <f t="shared" si="60"/>
        <v>-2.3679606262912767E-2</v>
      </c>
      <c r="D685">
        <f t="shared" si="63"/>
        <v>8579.4980468000012</v>
      </c>
      <c r="E685">
        <f t="shared" si="64"/>
        <v>0</v>
      </c>
      <c r="F685" s="2">
        <f t="shared" si="65"/>
        <v>-2.3679606262912767E-2</v>
      </c>
      <c r="G685" s="2">
        <f t="shared" si="61"/>
        <v>12.583808892467243</v>
      </c>
      <c r="H685" s="2">
        <f t="shared" si="62"/>
        <v>23.667520350371369</v>
      </c>
    </row>
    <row r="686" spans="1:8" x14ac:dyDescent="0.3">
      <c r="A686" s="1">
        <v>43236</v>
      </c>
      <c r="B686">
        <v>8368.8300780000009</v>
      </c>
      <c r="C686" s="2">
        <f t="shared" si="60"/>
        <v>-1.6632607115782627E-2</v>
      </c>
      <c r="D686">
        <f t="shared" si="63"/>
        <v>8564.9660155999991</v>
      </c>
      <c r="E686">
        <f t="shared" si="64"/>
        <v>0</v>
      </c>
      <c r="F686" s="2">
        <f t="shared" si="65"/>
        <v>0</v>
      </c>
      <c r="G686" s="2">
        <f t="shared" si="61"/>
        <v>12.374507343138744</v>
      </c>
      <c r="H686" s="2">
        <f t="shared" si="62"/>
        <v>23.667520350371369</v>
      </c>
    </row>
    <row r="687" spans="1:8" x14ac:dyDescent="0.3">
      <c r="A687" s="1">
        <v>43237</v>
      </c>
      <c r="B687">
        <v>8094.3198240000002</v>
      </c>
      <c r="C687" s="2">
        <f t="shared" si="60"/>
        <v>-3.2801508865813123E-2</v>
      </c>
      <c r="D687">
        <f t="shared" si="63"/>
        <v>8482.8520508000001</v>
      </c>
      <c r="E687">
        <f t="shared" si="64"/>
        <v>0</v>
      </c>
      <c r="F687" s="2">
        <f t="shared" si="65"/>
        <v>0</v>
      </c>
      <c r="G687" s="2">
        <f t="shared" si="61"/>
        <v>11.968604830812708</v>
      </c>
      <c r="H687" s="2">
        <f t="shared" si="62"/>
        <v>23.667520350371369</v>
      </c>
    </row>
    <row r="688" spans="1:8" x14ac:dyDescent="0.3">
      <c r="A688" s="1">
        <v>43238</v>
      </c>
      <c r="B688">
        <v>8250.9697269999997</v>
      </c>
      <c r="C688" s="2">
        <f t="shared" si="60"/>
        <v>1.9353065656675161E-2</v>
      </c>
      <c r="D688">
        <f t="shared" si="63"/>
        <v>8388.2579101999982</v>
      </c>
      <c r="E688">
        <f t="shared" si="64"/>
        <v>0</v>
      </c>
      <c r="F688" s="2">
        <f t="shared" si="65"/>
        <v>0</v>
      </c>
      <c r="G688" s="2">
        <f t="shared" si="61"/>
        <v>12.200234025922226</v>
      </c>
      <c r="H688" s="2">
        <f t="shared" si="62"/>
        <v>23.667520350371369</v>
      </c>
    </row>
    <row r="689" spans="1:8" x14ac:dyDescent="0.3">
      <c r="A689" s="1">
        <v>43239</v>
      </c>
      <c r="B689">
        <v>8247.1796880000002</v>
      </c>
      <c r="C689" s="2">
        <f t="shared" si="60"/>
        <v>-4.5934467406871793E-4</v>
      </c>
      <c r="D689">
        <f t="shared" si="63"/>
        <v>8294.3358399999997</v>
      </c>
      <c r="E689">
        <f t="shared" si="64"/>
        <v>0</v>
      </c>
      <c r="F689" s="2">
        <f t="shared" si="65"/>
        <v>0</v>
      </c>
      <c r="G689" s="2">
        <f t="shared" si="61"/>
        <v>12.194629913400027</v>
      </c>
      <c r="H689" s="2">
        <f t="shared" si="62"/>
        <v>23.667520350371369</v>
      </c>
    </row>
    <row r="690" spans="1:8" x14ac:dyDescent="0.3">
      <c r="A690" s="1">
        <v>43240</v>
      </c>
      <c r="B690">
        <v>8513.25</v>
      </c>
      <c r="C690" s="2">
        <f t="shared" si="60"/>
        <v>3.2261975859110281E-2</v>
      </c>
      <c r="D690">
        <f t="shared" si="63"/>
        <v>8294.9098634000002</v>
      </c>
      <c r="E690">
        <f t="shared" si="64"/>
        <v>1</v>
      </c>
      <c r="F690" s="2">
        <f t="shared" si="65"/>
        <v>0</v>
      </c>
      <c r="G690" s="2">
        <f t="shared" si="61"/>
        <v>12.588052769276922</v>
      </c>
      <c r="H690" s="2">
        <f t="shared" si="62"/>
        <v>23.667520350371369</v>
      </c>
    </row>
    <row r="691" spans="1:8" x14ac:dyDescent="0.3">
      <c r="A691" s="1">
        <v>43241</v>
      </c>
      <c r="B691">
        <v>8418.9902340000008</v>
      </c>
      <c r="C691" s="2">
        <f t="shared" si="60"/>
        <v>-1.1072124746718259E-2</v>
      </c>
      <c r="D691">
        <f t="shared" si="63"/>
        <v>8304.9418945999987</v>
      </c>
      <c r="E691">
        <f t="shared" si="64"/>
        <v>1</v>
      </c>
      <c r="F691" s="2">
        <f t="shared" si="65"/>
        <v>-1.1072124746718259E-2</v>
      </c>
      <c r="G691" s="2">
        <f t="shared" si="61"/>
        <v>12.448676278697215</v>
      </c>
      <c r="H691" s="2">
        <f t="shared" si="62"/>
        <v>23.405470612606564</v>
      </c>
    </row>
    <row r="692" spans="1:8" x14ac:dyDescent="0.3">
      <c r="A692" s="1">
        <v>43242</v>
      </c>
      <c r="B692">
        <v>8041.7797849999997</v>
      </c>
      <c r="C692" s="2">
        <f t="shared" si="60"/>
        <v>-4.4804713928356943E-2</v>
      </c>
      <c r="D692">
        <f t="shared" si="63"/>
        <v>8294.4338868000013</v>
      </c>
      <c r="E692">
        <f t="shared" si="64"/>
        <v>0</v>
      </c>
      <c r="F692" s="2">
        <f t="shared" si="65"/>
        <v>-4.4804713928356943E-2</v>
      </c>
      <c r="G692" s="2">
        <f t="shared" si="61"/>
        <v>11.890916899243464</v>
      </c>
      <c r="H692" s="2">
        <f t="shared" si="62"/>
        <v>22.356795197450161</v>
      </c>
    </row>
    <row r="693" spans="1:8" x14ac:dyDescent="0.3">
      <c r="A693" s="1">
        <v>43243</v>
      </c>
      <c r="B693">
        <v>7557.8198240000002</v>
      </c>
      <c r="C693" s="2">
        <f t="shared" si="60"/>
        <v>-6.0180703020830006E-2</v>
      </c>
      <c r="D693">
        <f t="shared" si="63"/>
        <v>8155.8039061999998</v>
      </c>
      <c r="E693">
        <f t="shared" si="64"/>
        <v>0</v>
      </c>
      <c r="F693" s="2">
        <f t="shared" si="65"/>
        <v>0</v>
      </c>
      <c r="G693" s="2">
        <f t="shared" si="61"/>
        <v>11.175313160684725</v>
      </c>
      <c r="H693" s="2">
        <f t="shared" si="62"/>
        <v>22.356795197450161</v>
      </c>
    </row>
    <row r="694" spans="1:8" x14ac:dyDescent="0.3">
      <c r="A694" s="1">
        <v>43244</v>
      </c>
      <c r="B694">
        <v>7587.3398440000001</v>
      </c>
      <c r="C694" s="2">
        <f t="shared" si="60"/>
        <v>3.9058909430811362E-3</v>
      </c>
      <c r="D694">
        <f t="shared" si="63"/>
        <v>8023.8359374000011</v>
      </c>
      <c r="E694">
        <f t="shared" si="64"/>
        <v>0</v>
      </c>
      <c r="F694" s="2">
        <f t="shared" si="65"/>
        <v>0</v>
      </c>
      <c r="G694" s="2">
        <f t="shared" si="61"/>
        <v>11.218962715145139</v>
      </c>
      <c r="H694" s="2">
        <f t="shared" si="62"/>
        <v>22.356795197450161</v>
      </c>
    </row>
    <row r="695" spans="1:8" x14ac:dyDescent="0.3">
      <c r="A695" s="1">
        <v>43245</v>
      </c>
      <c r="B695">
        <v>7480.1401370000003</v>
      </c>
      <c r="C695" s="2">
        <f t="shared" si="60"/>
        <v>-1.4128760435684451E-2</v>
      </c>
      <c r="D695">
        <f t="shared" si="63"/>
        <v>7817.2139648000011</v>
      </c>
      <c r="E695">
        <f t="shared" si="64"/>
        <v>0</v>
      </c>
      <c r="F695" s="2">
        <f t="shared" si="65"/>
        <v>0</v>
      </c>
      <c r="G695" s="2">
        <f t="shared" si="61"/>
        <v>11.060452678605976</v>
      </c>
      <c r="H695" s="2">
        <f t="shared" si="62"/>
        <v>22.356795197450161</v>
      </c>
    </row>
    <row r="696" spans="1:8" x14ac:dyDescent="0.3">
      <c r="A696" s="1">
        <v>43246</v>
      </c>
      <c r="B696">
        <v>7355.8798829999996</v>
      </c>
      <c r="C696" s="2">
        <f t="shared" si="60"/>
        <v>-1.6612022198000842E-2</v>
      </c>
      <c r="D696">
        <f t="shared" si="63"/>
        <v>7604.5918946000002</v>
      </c>
      <c r="E696">
        <f t="shared" si="64"/>
        <v>0</v>
      </c>
      <c r="F696" s="2">
        <f t="shared" si="65"/>
        <v>0</v>
      </c>
      <c r="G696" s="2">
        <f t="shared" si="61"/>
        <v>10.876716193189036</v>
      </c>
      <c r="H696" s="2">
        <f t="shared" si="62"/>
        <v>22.356795197450161</v>
      </c>
    </row>
    <row r="697" spans="1:8" x14ac:dyDescent="0.3">
      <c r="A697" s="1">
        <v>43247</v>
      </c>
      <c r="B697">
        <v>7368.2202150000003</v>
      </c>
      <c r="C697" s="2">
        <f t="shared" si="60"/>
        <v>1.6776146696630967E-3</v>
      </c>
      <c r="D697">
        <f t="shared" si="63"/>
        <v>7469.8799806000006</v>
      </c>
      <c r="E697">
        <f t="shared" si="64"/>
        <v>0</v>
      </c>
      <c r="F697" s="2">
        <f t="shared" si="65"/>
        <v>0</v>
      </c>
      <c r="G697" s="2">
        <f t="shared" si="61"/>
        <v>10.894963131832492</v>
      </c>
      <c r="H697" s="2">
        <f t="shared" si="62"/>
        <v>22.356795197450161</v>
      </c>
    </row>
    <row r="698" spans="1:8" x14ac:dyDescent="0.3">
      <c r="A698" s="1">
        <v>43248</v>
      </c>
      <c r="B698">
        <v>7135.9902339999999</v>
      </c>
      <c r="C698" s="2">
        <f t="shared" si="60"/>
        <v>-3.1517785058491232E-2</v>
      </c>
      <c r="D698">
        <f t="shared" si="63"/>
        <v>7385.5140625999993</v>
      </c>
      <c r="E698">
        <f t="shared" si="64"/>
        <v>0</v>
      </c>
      <c r="F698" s="2">
        <f t="shared" si="65"/>
        <v>0</v>
      </c>
      <c r="G698" s="2">
        <f t="shared" si="61"/>
        <v>10.551578025623209</v>
      </c>
      <c r="H698" s="2">
        <f t="shared" si="62"/>
        <v>22.356795197450161</v>
      </c>
    </row>
    <row r="699" spans="1:8" x14ac:dyDescent="0.3">
      <c r="A699" s="1">
        <v>43249</v>
      </c>
      <c r="B699">
        <v>7472.5898440000001</v>
      </c>
      <c r="C699" s="2">
        <f t="shared" si="60"/>
        <v>4.7169292412459374E-2</v>
      </c>
      <c r="D699">
        <f t="shared" si="63"/>
        <v>7362.5640626000004</v>
      </c>
      <c r="E699">
        <f t="shared" si="64"/>
        <v>1</v>
      </c>
      <c r="F699" s="2">
        <f t="shared" si="65"/>
        <v>0</v>
      </c>
      <c r="G699" s="2">
        <f t="shared" si="61"/>
        <v>11.049288494926712</v>
      </c>
      <c r="H699" s="2">
        <f t="shared" si="62"/>
        <v>22.356795197450161</v>
      </c>
    </row>
    <row r="700" spans="1:8" x14ac:dyDescent="0.3">
      <c r="A700" s="1">
        <v>43250</v>
      </c>
      <c r="B700">
        <v>7406.5200199999999</v>
      </c>
      <c r="C700" s="2">
        <f t="shared" si="60"/>
        <v>-8.8416232362933389E-3</v>
      </c>
      <c r="D700">
        <f t="shared" si="63"/>
        <v>7347.8400392000012</v>
      </c>
      <c r="E700">
        <f t="shared" si="64"/>
        <v>1</v>
      </c>
      <c r="F700" s="2">
        <f t="shared" si="65"/>
        <v>-8.8416232362933389E-3</v>
      </c>
      <c r="G700" s="2">
        <f t="shared" si="61"/>
        <v>10.95159484902546</v>
      </c>
      <c r="H700" s="2">
        <f t="shared" si="62"/>
        <v>22.159124837543335</v>
      </c>
    </row>
    <row r="701" spans="1:8" x14ac:dyDescent="0.3">
      <c r="A701" s="1">
        <v>43251</v>
      </c>
      <c r="B701">
        <v>7494.169922</v>
      </c>
      <c r="C701" s="2">
        <f t="shared" si="60"/>
        <v>1.1834154469753333E-2</v>
      </c>
      <c r="D701">
        <f t="shared" si="63"/>
        <v>7375.4980469999991</v>
      </c>
      <c r="E701">
        <f t="shared" si="64"/>
        <v>1</v>
      </c>
      <c r="F701" s="2">
        <f t="shared" si="65"/>
        <v>1.1834154469753333E-2</v>
      </c>
      <c r="G701" s="2">
        <f t="shared" si="61"/>
        <v>11.081197714158982</v>
      </c>
      <c r="H701" s="2">
        <f t="shared" si="62"/>
        <v>22.421359343785369</v>
      </c>
    </row>
    <row r="702" spans="1:8" x14ac:dyDescent="0.3">
      <c r="A702" s="1">
        <v>43252</v>
      </c>
      <c r="B702">
        <v>7541.4501950000003</v>
      </c>
      <c r="C702" s="2">
        <f t="shared" si="60"/>
        <v>6.3089406154515082E-3</v>
      </c>
      <c r="D702">
        <f t="shared" si="63"/>
        <v>7410.1440430000002</v>
      </c>
      <c r="E702">
        <f t="shared" si="64"/>
        <v>1</v>
      </c>
      <c r="F702" s="2">
        <f t="shared" si="65"/>
        <v>6.3089406154515082E-3</v>
      </c>
      <c r="G702" s="2">
        <f t="shared" si="61"/>
        <v>11.151108332485688</v>
      </c>
      <c r="H702" s="2">
        <f t="shared" si="62"/>
        <v>22.562814368403011</v>
      </c>
    </row>
    <row r="703" spans="1:8" x14ac:dyDescent="0.3">
      <c r="A703" s="1">
        <v>43253</v>
      </c>
      <c r="B703">
        <v>7643.4501950000003</v>
      </c>
      <c r="C703" s="2">
        <f t="shared" si="60"/>
        <v>1.3525250099460484E-2</v>
      </c>
      <c r="D703">
        <f t="shared" si="63"/>
        <v>7511.6360352000002</v>
      </c>
      <c r="E703">
        <f t="shared" si="64"/>
        <v>1</v>
      </c>
      <c r="F703" s="2">
        <f t="shared" si="65"/>
        <v>1.3525250099460484E-2</v>
      </c>
      <c r="G703" s="2">
        <f t="shared" si="61"/>
        <v>11.301929861568734</v>
      </c>
      <c r="H703" s="2">
        <f t="shared" si="62"/>
        <v>22.867982075683361</v>
      </c>
    </row>
    <row r="704" spans="1:8" x14ac:dyDescent="0.3">
      <c r="A704" s="1">
        <v>43254</v>
      </c>
      <c r="B704">
        <v>7720.25</v>
      </c>
      <c r="C704" s="2">
        <f t="shared" si="60"/>
        <v>1.0047792952224466E-2</v>
      </c>
      <c r="D704">
        <f t="shared" si="63"/>
        <v>7561.1680664000014</v>
      </c>
      <c r="E704">
        <f t="shared" si="64"/>
        <v>1</v>
      </c>
      <c r="F704" s="2">
        <f t="shared" si="65"/>
        <v>1.0047792952224466E-2</v>
      </c>
      <c r="G704" s="2">
        <f t="shared" si="61"/>
        <v>11.415489312778339</v>
      </c>
      <c r="H704" s="2">
        <f t="shared" si="62"/>
        <v>23.097754824815009</v>
      </c>
    </row>
    <row r="705" spans="1:8" x14ac:dyDescent="0.3">
      <c r="A705" s="1">
        <v>43255</v>
      </c>
      <c r="B705">
        <v>7514.4702150000003</v>
      </c>
      <c r="C705" s="2">
        <f t="shared" si="60"/>
        <v>-2.6654549399307004E-2</v>
      </c>
      <c r="D705">
        <f t="shared" si="63"/>
        <v>7582.7581053999993</v>
      </c>
      <c r="E705">
        <f t="shared" si="64"/>
        <v>0</v>
      </c>
      <c r="F705" s="2">
        <f t="shared" si="65"/>
        <v>-2.6654549399307004E-2</v>
      </c>
      <c r="G705" s="2">
        <f t="shared" si="61"/>
        <v>11.111214588973628</v>
      </c>
      <c r="H705" s="2">
        <f t="shared" si="62"/>
        <v>22.482094577823897</v>
      </c>
    </row>
    <row r="706" spans="1:8" x14ac:dyDescent="0.3">
      <c r="A706" s="1">
        <v>43256</v>
      </c>
      <c r="B706">
        <v>7633.7597660000001</v>
      </c>
      <c r="C706" s="2">
        <f t="shared" si="60"/>
        <v>1.5874645528819897E-2</v>
      </c>
      <c r="D706">
        <f t="shared" si="63"/>
        <v>7610.6760742000015</v>
      </c>
      <c r="E706">
        <f t="shared" si="64"/>
        <v>1</v>
      </c>
      <c r="F706" s="2">
        <f t="shared" si="65"/>
        <v>0</v>
      </c>
      <c r="G706" s="2">
        <f t="shared" si="61"/>
        <v>11.287601181968236</v>
      </c>
      <c r="H706" s="2">
        <f t="shared" si="62"/>
        <v>22.482094577823897</v>
      </c>
    </row>
    <row r="707" spans="1:8" x14ac:dyDescent="0.3">
      <c r="A707" s="1">
        <v>43257</v>
      </c>
      <c r="B707">
        <v>7653.9799800000001</v>
      </c>
      <c r="C707" s="2">
        <f t="shared" si="60"/>
        <v>2.6487883585306626E-3</v>
      </c>
      <c r="D707">
        <f t="shared" si="63"/>
        <v>7633.1820312</v>
      </c>
      <c r="E707">
        <f t="shared" si="64"/>
        <v>1</v>
      </c>
      <c r="F707" s="2">
        <f t="shared" si="65"/>
        <v>2.6487883585306626E-3</v>
      </c>
      <c r="G707" s="2">
        <f t="shared" si="61"/>
        <v>11.317499648574771</v>
      </c>
      <c r="H707" s="2">
        <f t="shared" si="62"/>
        <v>22.541644888217022</v>
      </c>
    </row>
    <row r="708" spans="1:8" x14ac:dyDescent="0.3">
      <c r="A708" s="1">
        <v>43258</v>
      </c>
      <c r="B708">
        <v>7678.2402339999999</v>
      </c>
      <c r="C708" s="2">
        <f t="shared" ref="C708:C771" si="66">B708/B707-1</f>
        <v>3.1696260067823889E-3</v>
      </c>
      <c r="D708">
        <f t="shared" si="63"/>
        <v>7640.1400389999999</v>
      </c>
      <c r="E708">
        <f t="shared" si="64"/>
        <v>1</v>
      </c>
      <c r="F708" s="2">
        <f t="shared" si="65"/>
        <v>3.1696260067823889E-3</v>
      </c>
      <c r="G708" s="2">
        <f t="shared" ref="G708:G771" si="67">(1+C708)*G707</f>
        <v>11.353371889792644</v>
      </c>
      <c r="H708" s="2">
        <f t="shared" ref="H708:H771" si="68">(1+F708)*H707</f>
        <v>22.613093472090366</v>
      </c>
    </row>
    <row r="709" spans="1:8" x14ac:dyDescent="0.3">
      <c r="A709" s="1">
        <v>43259</v>
      </c>
      <c r="B709">
        <v>7624.919922</v>
      </c>
      <c r="C709" s="2">
        <f t="shared" si="66"/>
        <v>-6.9443401580341346E-3</v>
      </c>
      <c r="D709">
        <f t="shared" si="63"/>
        <v>7621.0740233999995</v>
      </c>
      <c r="E709">
        <f t="shared" si="64"/>
        <v>1</v>
      </c>
      <c r="F709" s="2">
        <f t="shared" si="65"/>
        <v>-6.9443401580341346E-3</v>
      </c>
      <c r="G709" s="2">
        <f t="shared" si="67"/>
        <v>11.27453021344926</v>
      </c>
      <c r="H709" s="2">
        <f t="shared" si="68"/>
        <v>22.456060458994749</v>
      </c>
    </row>
    <row r="710" spans="1:8" x14ac:dyDescent="0.3">
      <c r="A710" s="1">
        <v>43260</v>
      </c>
      <c r="B710">
        <v>7531.9799800000001</v>
      </c>
      <c r="C710" s="2">
        <f t="shared" si="66"/>
        <v>-1.2188972861451597E-2</v>
      </c>
      <c r="D710">
        <f t="shared" si="63"/>
        <v>7624.5759764000004</v>
      </c>
      <c r="E710">
        <f t="shared" si="64"/>
        <v>0</v>
      </c>
      <c r="F710" s="2">
        <f t="shared" si="65"/>
        <v>-1.2188972861451597E-2</v>
      </c>
      <c r="G710" s="2">
        <f t="shared" si="67"/>
        <v>11.137105270651912</v>
      </c>
      <c r="H710" s="2">
        <f t="shared" si="68"/>
        <v>22.182344147484944</v>
      </c>
    </row>
    <row r="711" spans="1:8" x14ac:dyDescent="0.3">
      <c r="A711" s="1">
        <v>43261</v>
      </c>
      <c r="B711">
        <v>6786.0200199999999</v>
      </c>
      <c r="C711" s="2">
        <f t="shared" si="66"/>
        <v>-9.9039025857846186E-2</v>
      </c>
      <c r="D711">
        <f t="shared" ref="D711:D774" si="69">AVERAGE(B707:B711)</f>
        <v>7455.0280272</v>
      </c>
      <c r="E711">
        <f t="shared" ref="E711:E774" si="70">IF(B711&gt;D711,1,0)</f>
        <v>0</v>
      </c>
      <c r="F711" s="2">
        <f t="shared" si="65"/>
        <v>0</v>
      </c>
      <c r="G711" s="2">
        <f t="shared" si="67"/>
        <v>10.034097213770261</v>
      </c>
      <c r="H711" s="2">
        <f t="shared" si="68"/>
        <v>22.182344147484944</v>
      </c>
    </row>
    <row r="712" spans="1:8" x14ac:dyDescent="0.3">
      <c r="A712" s="1">
        <v>43262</v>
      </c>
      <c r="B712">
        <v>6906.919922</v>
      </c>
      <c r="C712" s="2">
        <f t="shared" si="66"/>
        <v>1.7816024951839093E-2</v>
      </c>
      <c r="D712">
        <f t="shared" si="69"/>
        <v>7305.6160155999996</v>
      </c>
      <c r="E712">
        <f t="shared" si="70"/>
        <v>0</v>
      </c>
      <c r="F712" s="2">
        <f t="shared" ref="F712:F775" si="71">E711*C712</f>
        <v>0</v>
      </c>
      <c r="G712" s="2">
        <f t="shared" si="67"/>
        <v>10.212864940099971</v>
      </c>
      <c r="H712" s="2">
        <f t="shared" si="68"/>
        <v>22.182344147484944</v>
      </c>
    </row>
    <row r="713" spans="1:8" x14ac:dyDescent="0.3">
      <c r="A713" s="1">
        <v>43263</v>
      </c>
      <c r="B713">
        <v>6582.3598629999997</v>
      </c>
      <c r="C713" s="2">
        <f t="shared" si="66"/>
        <v>-4.6990563473337521E-2</v>
      </c>
      <c r="D713">
        <f t="shared" si="69"/>
        <v>7086.4399414</v>
      </c>
      <c r="E713">
        <f t="shared" si="70"/>
        <v>0</v>
      </c>
      <c r="F713" s="2">
        <f t="shared" si="71"/>
        <v>0</v>
      </c>
      <c r="G713" s="2">
        <f t="shared" si="67"/>
        <v>9.7329566618875791</v>
      </c>
      <c r="H713" s="2">
        <f t="shared" si="68"/>
        <v>22.182344147484944</v>
      </c>
    </row>
    <row r="714" spans="1:8" x14ac:dyDescent="0.3">
      <c r="A714" s="1">
        <v>43264</v>
      </c>
      <c r="B714">
        <v>6349.8999020000001</v>
      </c>
      <c r="C714" s="2">
        <f t="shared" si="66"/>
        <v>-3.5315595901505903E-2</v>
      </c>
      <c r="D714">
        <f t="shared" si="69"/>
        <v>6831.4359373999996</v>
      </c>
      <c r="E714">
        <f t="shared" si="70"/>
        <v>0</v>
      </c>
      <c r="F714" s="2">
        <f t="shared" si="71"/>
        <v>0</v>
      </c>
      <c r="G714" s="2">
        <f t="shared" si="67"/>
        <v>9.3892314974894884</v>
      </c>
      <c r="H714" s="2">
        <f t="shared" si="68"/>
        <v>22.182344147484944</v>
      </c>
    </row>
    <row r="715" spans="1:8" x14ac:dyDescent="0.3">
      <c r="A715" s="1">
        <v>43265</v>
      </c>
      <c r="B715">
        <v>6675.3500979999999</v>
      </c>
      <c r="C715" s="2">
        <f t="shared" si="66"/>
        <v>5.1252807291890301E-2</v>
      </c>
      <c r="D715">
        <f t="shared" si="69"/>
        <v>6660.1099610000001</v>
      </c>
      <c r="E715">
        <f t="shared" si="70"/>
        <v>1</v>
      </c>
      <c r="F715" s="2">
        <f t="shared" si="71"/>
        <v>0</v>
      </c>
      <c r="G715" s="2">
        <f t="shared" si="67"/>
        <v>9.8704559700492638</v>
      </c>
      <c r="H715" s="2">
        <f t="shared" si="68"/>
        <v>22.182344147484944</v>
      </c>
    </row>
    <row r="716" spans="1:8" x14ac:dyDescent="0.3">
      <c r="A716" s="1">
        <v>43266</v>
      </c>
      <c r="B716">
        <v>6456.580078</v>
      </c>
      <c r="C716" s="2">
        <f t="shared" si="66"/>
        <v>-3.2772815925496634E-2</v>
      </c>
      <c r="D716">
        <f t="shared" si="69"/>
        <v>6594.2219725999994</v>
      </c>
      <c r="E716">
        <f t="shared" si="70"/>
        <v>0</v>
      </c>
      <c r="F716" s="2">
        <f t="shared" si="71"/>
        <v>-3.2772815925496634E-2</v>
      </c>
      <c r="G716" s="2">
        <f t="shared" si="67"/>
        <v>9.5469733334421196</v>
      </c>
      <c r="H716" s="2">
        <f t="shared" si="68"/>
        <v>21.455366265943404</v>
      </c>
    </row>
    <row r="717" spans="1:8" x14ac:dyDescent="0.3">
      <c r="A717" s="1">
        <v>43267</v>
      </c>
      <c r="B717">
        <v>6550.1601559999999</v>
      </c>
      <c r="C717" s="2">
        <f t="shared" si="66"/>
        <v>1.4493753174201762E-2</v>
      </c>
      <c r="D717">
        <f t="shared" si="69"/>
        <v>6522.8700193999994</v>
      </c>
      <c r="E717">
        <f t="shared" si="70"/>
        <v>1</v>
      </c>
      <c r="F717" s="2">
        <f t="shared" si="71"/>
        <v>0</v>
      </c>
      <c r="G717" s="2">
        <f t="shared" si="67"/>
        <v>9.6853448084977156</v>
      </c>
      <c r="H717" s="2">
        <f t="shared" si="68"/>
        <v>21.455366265943404</v>
      </c>
    </row>
    <row r="718" spans="1:8" x14ac:dyDescent="0.3">
      <c r="A718" s="1">
        <v>43268</v>
      </c>
      <c r="B718">
        <v>6499.2700199999999</v>
      </c>
      <c r="C718" s="2">
        <f t="shared" si="66"/>
        <v>-7.7692964428334177E-3</v>
      </c>
      <c r="D718">
        <f t="shared" si="69"/>
        <v>6506.2520507999998</v>
      </c>
      <c r="E718">
        <f t="shared" si="70"/>
        <v>0</v>
      </c>
      <c r="F718" s="2">
        <f t="shared" si="71"/>
        <v>-7.7692964428334177E-3</v>
      </c>
      <c r="G718" s="2">
        <f t="shared" si="67"/>
        <v>9.61009649352944</v>
      </c>
      <c r="H718" s="2">
        <f t="shared" si="68"/>
        <v>21.288673165133723</v>
      </c>
    </row>
    <row r="719" spans="1:8" x14ac:dyDescent="0.3">
      <c r="A719" s="1">
        <v>43269</v>
      </c>
      <c r="B719">
        <v>6734.8198240000002</v>
      </c>
      <c r="C719" s="2">
        <f t="shared" si="66"/>
        <v>3.6242501584816456E-2</v>
      </c>
      <c r="D719">
        <f t="shared" si="69"/>
        <v>6583.2360352000005</v>
      </c>
      <c r="E719">
        <f t="shared" si="70"/>
        <v>1</v>
      </c>
      <c r="F719" s="2">
        <f t="shared" si="71"/>
        <v>0</v>
      </c>
      <c r="G719" s="2">
        <f t="shared" si="67"/>
        <v>9.9583904309264195</v>
      </c>
      <c r="H719" s="2">
        <f t="shared" si="68"/>
        <v>21.288673165133723</v>
      </c>
    </row>
    <row r="720" spans="1:8" x14ac:dyDescent="0.3">
      <c r="A720" s="1">
        <v>43270</v>
      </c>
      <c r="B720">
        <v>6769.9399409999996</v>
      </c>
      <c r="C720" s="2">
        <f t="shared" si="66"/>
        <v>5.2147077305388922E-3</v>
      </c>
      <c r="D720">
        <f t="shared" si="69"/>
        <v>6602.1540037999994</v>
      </c>
      <c r="E720">
        <f t="shared" si="70"/>
        <v>1</v>
      </c>
      <c r="F720" s="2">
        <f t="shared" si="71"/>
        <v>5.2147077305388922E-3</v>
      </c>
      <c r="G720" s="2">
        <f t="shared" si="67"/>
        <v>10.010320526490297</v>
      </c>
      <c r="H720" s="2">
        <f t="shared" si="68"/>
        <v>21.399687373660861</v>
      </c>
    </row>
    <row r="721" spans="1:8" x14ac:dyDescent="0.3">
      <c r="A721" s="1">
        <v>43271</v>
      </c>
      <c r="B721">
        <v>6776.5498049999997</v>
      </c>
      <c r="C721" s="2">
        <f t="shared" si="66"/>
        <v>9.7635489496283867E-4</v>
      </c>
      <c r="D721">
        <f t="shared" si="69"/>
        <v>6666.1479491999999</v>
      </c>
      <c r="E721">
        <f t="shared" si="70"/>
        <v>1</v>
      </c>
      <c r="F721" s="2">
        <f t="shared" si="71"/>
        <v>9.7635489496283867E-4</v>
      </c>
      <c r="G721" s="2">
        <f t="shared" si="67"/>
        <v>10.020094151936483</v>
      </c>
      <c r="H721" s="2">
        <f t="shared" si="68"/>
        <v>21.420581063178808</v>
      </c>
    </row>
    <row r="722" spans="1:8" x14ac:dyDescent="0.3">
      <c r="A722" s="1">
        <v>43272</v>
      </c>
      <c r="B722">
        <v>6729.7402339999999</v>
      </c>
      <c r="C722" s="2">
        <f t="shared" si="66"/>
        <v>-6.9075816377033306E-3</v>
      </c>
      <c r="D722">
        <f t="shared" si="69"/>
        <v>6702.0639647999997</v>
      </c>
      <c r="E722">
        <f t="shared" si="70"/>
        <v>1</v>
      </c>
      <c r="F722" s="2">
        <f t="shared" si="71"/>
        <v>-6.9075816377033306E-3</v>
      </c>
      <c r="G722" s="2">
        <f t="shared" si="67"/>
        <v>9.9508795335645086</v>
      </c>
      <c r="H722" s="2">
        <f t="shared" si="68"/>
        <v>21.272616650757858</v>
      </c>
    </row>
    <row r="723" spans="1:8" x14ac:dyDescent="0.3">
      <c r="A723" s="1">
        <v>43273</v>
      </c>
      <c r="B723">
        <v>6083.6899409999996</v>
      </c>
      <c r="C723" s="2">
        <f t="shared" si="66"/>
        <v>-9.5999291285572164E-2</v>
      </c>
      <c r="D723">
        <f t="shared" si="69"/>
        <v>6618.9479489999994</v>
      </c>
      <c r="E723">
        <f t="shared" si="70"/>
        <v>0</v>
      </c>
      <c r="F723" s="2">
        <f t="shared" si="71"/>
        <v>-9.5999291285572164E-2</v>
      </c>
      <c r="G723" s="2">
        <f t="shared" si="67"/>
        <v>8.9956021506742108</v>
      </c>
      <c r="H723" s="2">
        <f t="shared" si="68"/>
        <v>19.230460528495442</v>
      </c>
    </row>
    <row r="724" spans="1:8" x14ac:dyDescent="0.3">
      <c r="A724" s="1">
        <v>43274</v>
      </c>
      <c r="B724">
        <v>6162.4799800000001</v>
      </c>
      <c r="C724" s="2">
        <f t="shared" si="66"/>
        <v>1.295102803793613E-2</v>
      </c>
      <c r="D724">
        <f t="shared" si="69"/>
        <v>6504.4799801999998</v>
      </c>
      <c r="E724">
        <f t="shared" si="70"/>
        <v>0</v>
      </c>
      <c r="F724" s="2">
        <f t="shared" si="71"/>
        <v>0</v>
      </c>
      <c r="G724" s="2">
        <f t="shared" si="67"/>
        <v>9.112104446345711</v>
      </c>
      <c r="H724" s="2">
        <f t="shared" si="68"/>
        <v>19.230460528495442</v>
      </c>
    </row>
    <row r="725" spans="1:8" x14ac:dyDescent="0.3">
      <c r="A725" s="1">
        <v>43275</v>
      </c>
      <c r="B725">
        <v>6173.2299800000001</v>
      </c>
      <c r="C725" s="2">
        <f t="shared" si="66"/>
        <v>1.744427573783458E-3</v>
      </c>
      <c r="D725">
        <f t="shared" si="69"/>
        <v>6385.1379880000004</v>
      </c>
      <c r="E725">
        <f t="shared" si="70"/>
        <v>0</v>
      </c>
      <c r="F725" s="2">
        <f t="shared" si="71"/>
        <v>0</v>
      </c>
      <c r="G725" s="2">
        <f t="shared" si="67"/>
        <v>9.127999852597112</v>
      </c>
      <c r="H725" s="2">
        <f t="shared" si="68"/>
        <v>19.230460528495442</v>
      </c>
    </row>
    <row r="726" spans="1:8" x14ac:dyDescent="0.3">
      <c r="A726" s="1">
        <v>43276</v>
      </c>
      <c r="B726">
        <v>6249.1801759999998</v>
      </c>
      <c r="C726" s="2">
        <f t="shared" si="66"/>
        <v>1.2303153494372054E-2</v>
      </c>
      <c r="D726">
        <f t="shared" si="69"/>
        <v>6279.6640621999995</v>
      </c>
      <c r="E726">
        <f t="shared" si="70"/>
        <v>0</v>
      </c>
      <c r="F726" s="2">
        <f t="shared" si="71"/>
        <v>0</v>
      </c>
      <c r="G726" s="2">
        <f t="shared" si="67"/>
        <v>9.2403030358802205</v>
      </c>
      <c r="H726" s="2">
        <f t="shared" si="68"/>
        <v>19.230460528495442</v>
      </c>
    </row>
    <row r="727" spans="1:8" x14ac:dyDescent="0.3">
      <c r="A727" s="1">
        <v>43277</v>
      </c>
      <c r="B727">
        <v>6093.669922</v>
      </c>
      <c r="C727" s="2">
        <f t="shared" si="66"/>
        <v>-2.4884904838755939E-2</v>
      </c>
      <c r="D727">
        <f t="shared" si="69"/>
        <v>6152.4499998000001</v>
      </c>
      <c r="E727">
        <f t="shared" si="70"/>
        <v>0</v>
      </c>
      <c r="F727" s="2">
        <f t="shared" si="71"/>
        <v>0</v>
      </c>
      <c r="G727" s="2">
        <f t="shared" si="67"/>
        <v>9.0103589741510728</v>
      </c>
      <c r="H727" s="2">
        <f t="shared" si="68"/>
        <v>19.230460528495442</v>
      </c>
    </row>
    <row r="728" spans="1:8" x14ac:dyDescent="0.3">
      <c r="A728" s="1">
        <v>43278</v>
      </c>
      <c r="B728">
        <v>6157.1298829999996</v>
      </c>
      <c r="C728" s="2">
        <f t="shared" si="66"/>
        <v>1.0414079169416501E-2</v>
      </c>
      <c r="D728">
        <f t="shared" si="69"/>
        <v>6167.137988200001</v>
      </c>
      <c r="E728">
        <f t="shared" si="70"/>
        <v>0</v>
      </c>
      <c r="F728" s="2">
        <f t="shared" si="71"/>
        <v>0</v>
      </c>
      <c r="G728" s="2">
        <f t="shared" si="67"/>
        <v>9.1041935658527446</v>
      </c>
      <c r="H728" s="2">
        <f t="shared" si="68"/>
        <v>19.230460528495442</v>
      </c>
    </row>
    <row r="729" spans="1:8" x14ac:dyDescent="0.3">
      <c r="A729" s="1">
        <v>43279</v>
      </c>
      <c r="B729">
        <v>5903.4399409999996</v>
      </c>
      <c r="C729" s="2">
        <f t="shared" si="66"/>
        <v>-4.1202629605141983E-2</v>
      </c>
      <c r="D729">
        <f t="shared" si="69"/>
        <v>6115.3299803999998</v>
      </c>
      <c r="E729">
        <f t="shared" si="70"/>
        <v>0</v>
      </c>
      <c r="F729" s="2">
        <f t="shared" si="71"/>
        <v>0</v>
      </c>
      <c r="G729" s="2">
        <f t="shared" si="67"/>
        <v>8.7290768505053968</v>
      </c>
      <c r="H729" s="2">
        <f t="shared" si="68"/>
        <v>19.230460528495442</v>
      </c>
    </row>
    <row r="730" spans="1:8" x14ac:dyDescent="0.3">
      <c r="A730" s="1">
        <v>43280</v>
      </c>
      <c r="B730">
        <v>6218.2998049999997</v>
      </c>
      <c r="C730" s="2">
        <f t="shared" si="66"/>
        <v>5.3334982170863743E-2</v>
      </c>
      <c r="D730">
        <f t="shared" si="69"/>
        <v>6124.343945399999</v>
      </c>
      <c r="E730">
        <f t="shared" si="70"/>
        <v>1</v>
      </c>
      <c r="F730" s="2">
        <f t="shared" si="71"/>
        <v>0</v>
      </c>
      <c r="G730" s="2">
        <f t="shared" si="67"/>
        <v>9.194642008695201</v>
      </c>
      <c r="H730" s="2">
        <f t="shared" si="68"/>
        <v>19.230460528495442</v>
      </c>
    </row>
    <row r="731" spans="1:8" x14ac:dyDescent="0.3">
      <c r="A731" s="1">
        <v>43281</v>
      </c>
      <c r="B731">
        <v>6404</v>
      </c>
      <c r="C731" s="2">
        <f t="shared" si="66"/>
        <v>2.9863499802740723E-2</v>
      </c>
      <c r="D731">
        <f t="shared" si="69"/>
        <v>6155.3079101999992</v>
      </c>
      <c r="E731">
        <f t="shared" si="70"/>
        <v>1</v>
      </c>
      <c r="F731" s="2">
        <f t="shared" si="71"/>
        <v>2.9863499802740723E-2</v>
      </c>
      <c r="G731" s="2">
        <f t="shared" si="67"/>
        <v>9.4692261985081423</v>
      </c>
      <c r="H731" s="2">
        <f t="shared" si="68"/>
        <v>19.80474938269478</v>
      </c>
    </row>
    <row r="732" spans="1:8" x14ac:dyDescent="0.3">
      <c r="A732" s="1">
        <v>43282</v>
      </c>
      <c r="B732">
        <v>6385.8198240000002</v>
      </c>
      <c r="C732" s="2">
        <f t="shared" si="66"/>
        <v>-2.838878201124273E-3</v>
      </c>
      <c r="D732">
        <f t="shared" si="69"/>
        <v>6213.7378905999994</v>
      </c>
      <c r="E732">
        <f t="shared" si="70"/>
        <v>1</v>
      </c>
      <c r="F732" s="2">
        <f t="shared" si="71"/>
        <v>-2.838878201124273E-3</v>
      </c>
      <c r="G732" s="2">
        <f t="shared" si="67"/>
        <v>9.4423442186716819</v>
      </c>
      <c r="H732" s="2">
        <f t="shared" si="68"/>
        <v>19.748526111393517</v>
      </c>
    </row>
    <row r="733" spans="1:8" x14ac:dyDescent="0.3">
      <c r="A733" s="1">
        <v>43283</v>
      </c>
      <c r="B733">
        <v>6614.1801759999998</v>
      </c>
      <c r="C733" s="2">
        <f t="shared" si="66"/>
        <v>3.5760537925255464E-2</v>
      </c>
      <c r="D733">
        <f t="shared" si="69"/>
        <v>6305.1479491999999</v>
      </c>
      <c r="E733">
        <f t="shared" si="70"/>
        <v>1</v>
      </c>
      <c r="F733" s="2">
        <f t="shared" si="71"/>
        <v>3.5760537925255464E-2</v>
      </c>
      <c r="G733" s="2">
        <f t="shared" si="67"/>
        <v>9.7800075272068074</v>
      </c>
      <c r="H733" s="2">
        <f t="shared" si="68"/>
        <v>20.454744028367902</v>
      </c>
    </row>
    <row r="734" spans="1:8" x14ac:dyDescent="0.3">
      <c r="A734" s="1">
        <v>43284</v>
      </c>
      <c r="B734">
        <v>6529.5898440000001</v>
      </c>
      <c r="C734" s="2">
        <f t="shared" si="66"/>
        <v>-1.2789239142130038E-2</v>
      </c>
      <c r="D734">
        <f t="shared" si="69"/>
        <v>6430.3779298000009</v>
      </c>
      <c r="E734">
        <f t="shared" si="70"/>
        <v>1</v>
      </c>
      <c r="F734" s="2">
        <f t="shared" si="71"/>
        <v>-1.2789239142130038E-2</v>
      </c>
      <c r="G734" s="2">
        <f t="shared" si="67"/>
        <v>9.6549286721295271</v>
      </c>
      <c r="H734" s="2">
        <f t="shared" si="68"/>
        <v>20.193143415398048</v>
      </c>
    </row>
    <row r="735" spans="1:8" x14ac:dyDescent="0.3">
      <c r="A735" s="1">
        <v>43285</v>
      </c>
      <c r="B735">
        <v>6597.5498049999997</v>
      </c>
      <c r="C735" s="2">
        <f t="shared" si="66"/>
        <v>1.0407998453753953E-2</v>
      </c>
      <c r="D735">
        <f t="shared" si="69"/>
        <v>6506.2279298000003</v>
      </c>
      <c r="E735">
        <f t="shared" si="70"/>
        <v>1</v>
      </c>
      <c r="F735" s="2">
        <f t="shared" si="71"/>
        <v>1.0407998453753953E-2</v>
      </c>
      <c r="G735" s="2">
        <f t="shared" si="67"/>
        <v>9.7554171548201563</v>
      </c>
      <c r="H735" s="2">
        <f t="shared" si="68"/>
        <v>20.403313620841942</v>
      </c>
    </row>
    <row r="736" spans="1:8" x14ac:dyDescent="0.3">
      <c r="A736" s="1">
        <v>43286</v>
      </c>
      <c r="B736">
        <v>6639.1401370000003</v>
      </c>
      <c r="C736" s="2">
        <f t="shared" si="66"/>
        <v>6.3039057270142251E-3</v>
      </c>
      <c r="D736">
        <f t="shared" si="69"/>
        <v>6553.2559572</v>
      </c>
      <c r="E736">
        <f t="shared" si="70"/>
        <v>1</v>
      </c>
      <c r="F736" s="2">
        <f t="shared" si="71"/>
        <v>6.3039057270142251E-3</v>
      </c>
      <c r="G736" s="2">
        <f t="shared" si="67"/>
        <v>9.8169143848918399</v>
      </c>
      <c r="H736" s="2">
        <f t="shared" si="68"/>
        <v>20.531934186426437</v>
      </c>
    </row>
    <row r="737" spans="1:8" x14ac:dyDescent="0.3">
      <c r="A737" s="1">
        <v>43287</v>
      </c>
      <c r="B737">
        <v>6673.5</v>
      </c>
      <c r="C737" s="2">
        <f t="shared" si="66"/>
        <v>5.1753483570127212E-3</v>
      </c>
      <c r="D737">
        <f t="shared" si="69"/>
        <v>6610.7919923999998</v>
      </c>
      <c r="E737">
        <f t="shared" si="70"/>
        <v>1</v>
      </c>
      <c r="F737" s="2">
        <f t="shared" si="71"/>
        <v>5.1753483570127212E-3</v>
      </c>
      <c r="G737" s="2">
        <f t="shared" si="67"/>
        <v>9.8677203366246236</v>
      </c>
      <c r="H737" s="2">
        <f t="shared" si="68"/>
        <v>20.638194098284451</v>
      </c>
    </row>
    <row r="738" spans="1:8" x14ac:dyDescent="0.3">
      <c r="A738" s="1">
        <v>43288</v>
      </c>
      <c r="B738">
        <v>6856.9301759999998</v>
      </c>
      <c r="C738" s="2">
        <f t="shared" si="66"/>
        <v>2.7486352888289378E-2</v>
      </c>
      <c r="D738">
        <f t="shared" si="69"/>
        <v>6659.3419924</v>
      </c>
      <c r="E738">
        <f t="shared" si="70"/>
        <v>1</v>
      </c>
      <c r="F738" s="2">
        <f t="shared" si="71"/>
        <v>2.7486352888289378E-2</v>
      </c>
      <c r="G738" s="2">
        <f t="shared" si="67"/>
        <v>10.138947980000038</v>
      </c>
      <c r="H738" s="2">
        <f t="shared" si="68"/>
        <v>21.205462784246908</v>
      </c>
    </row>
    <row r="739" spans="1:8" x14ac:dyDescent="0.3">
      <c r="A739" s="1">
        <v>43289</v>
      </c>
      <c r="B739">
        <v>6773.8798829999996</v>
      </c>
      <c r="C739" s="2">
        <f t="shared" si="66"/>
        <v>-1.2111876724468562E-2</v>
      </c>
      <c r="D739">
        <f t="shared" si="69"/>
        <v>6708.2000002000004</v>
      </c>
      <c r="E739">
        <f t="shared" si="70"/>
        <v>1</v>
      </c>
      <c r="F739" s="2">
        <f t="shared" si="71"/>
        <v>-1.2111876724468562E-2</v>
      </c>
      <c r="G739" s="2">
        <f t="shared" si="67"/>
        <v>10.016146291950479</v>
      </c>
      <c r="H739" s="2">
        <f t="shared" si="68"/>
        <v>20.948624833118803</v>
      </c>
    </row>
    <row r="740" spans="1:8" x14ac:dyDescent="0.3">
      <c r="A740" s="1">
        <v>43290</v>
      </c>
      <c r="B740">
        <v>6741.75</v>
      </c>
      <c r="C740" s="2">
        <f t="shared" si="66"/>
        <v>-4.743202353002185E-3</v>
      </c>
      <c r="D740">
        <f t="shared" si="69"/>
        <v>6737.0400391999992</v>
      </c>
      <c r="E740">
        <f t="shared" si="70"/>
        <v>1</v>
      </c>
      <c r="F740" s="2">
        <f t="shared" si="71"/>
        <v>-4.743202353002185E-3</v>
      </c>
      <c r="G740" s="2">
        <f t="shared" si="67"/>
        <v>9.9686376832904848</v>
      </c>
      <c r="H740" s="2">
        <f t="shared" si="68"/>
        <v>20.849261266518194</v>
      </c>
    </row>
    <row r="741" spans="1:8" x14ac:dyDescent="0.3">
      <c r="A741" s="1">
        <v>43291</v>
      </c>
      <c r="B741">
        <v>6329.9501950000003</v>
      </c>
      <c r="C741" s="2">
        <f t="shared" si="66"/>
        <v>-6.1082034338265201E-2</v>
      </c>
      <c r="D741">
        <f t="shared" si="69"/>
        <v>6675.2020508000005</v>
      </c>
      <c r="E741">
        <f t="shared" si="70"/>
        <v>0</v>
      </c>
      <c r="F741" s="2">
        <f t="shared" si="71"/>
        <v>-6.1082034338265201E-2</v>
      </c>
      <c r="G741" s="2">
        <f t="shared" si="67"/>
        <v>9.3597330140140116</v>
      </c>
      <c r="H741" s="2">
        <f t="shared" si="68"/>
        <v>19.575745973909267</v>
      </c>
    </row>
    <row r="742" spans="1:8" x14ac:dyDescent="0.3">
      <c r="A742" s="1">
        <v>43292</v>
      </c>
      <c r="B742">
        <v>6394.7099609999996</v>
      </c>
      <c r="C742" s="2">
        <f t="shared" si="66"/>
        <v>1.023069123847975E-2</v>
      </c>
      <c r="D742">
        <f t="shared" si="69"/>
        <v>6619.4440430000004</v>
      </c>
      <c r="E742">
        <f t="shared" si="70"/>
        <v>0</v>
      </c>
      <c r="F742" s="2">
        <f t="shared" si="71"/>
        <v>0</v>
      </c>
      <c r="G742" s="2">
        <f t="shared" si="67"/>
        <v>9.4554895525549938</v>
      </c>
      <c r="H742" s="2">
        <f t="shared" si="68"/>
        <v>19.575745973909267</v>
      </c>
    </row>
    <row r="743" spans="1:8" x14ac:dyDescent="0.3">
      <c r="A743" s="1">
        <v>43293</v>
      </c>
      <c r="B743">
        <v>6228.8100590000004</v>
      </c>
      <c r="C743" s="2">
        <f t="shared" si="66"/>
        <v>-2.5943303607479984E-2</v>
      </c>
      <c r="D743">
        <f t="shared" si="69"/>
        <v>6493.8200195999998</v>
      </c>
      <c r="E743">
        <f t="shared" si="70"/>
        <v>0</v>
      </c>
      <c r="F743" s="2">
        <f t="shared" si="71"/>
        <v>0</v>
      </c>
      <c r="G743" s="2">
        <f t="shared" si="67"/>
        <v>9.2101829163357039</v>
      </c>
      <c r="H743" s="2">
        <f t="shared" si="68"/>
        <v>19.575745973909267</v>
      </c>
    </row>
    <row r="744" spans="1:8" x14ac:dyDescent="0.3">
      <c r="A744" s="1">
        <v>43294</v>
      </c>
      <c r="B744">
        <v>6238.0498049999997</v>
      </c>
      <c r="C744" s="2">
        <f t="shared" si="66"/>
        <v>1.4833886267970886E-3</v>
      </c>
      <c r="D744">
        <f t="shared" si="69"/>
        <v>6386.654004</v>
      </c>
      <c r="E744">
        <f t="shared" si="70"/>
        <v>0</v>
      </c>
      <c r="F744" s="2">
        <f t="shared" si="71"/>
        <v>0</v>
      </c>
      <c r="G744" s="2">
        <f t="shared" si="67"/>
        <v>9.2238451969245165</v>
      </c>
      <c r="H744" s="2">
        <f t="shared" si="68"/>
        <v>19.575745973909267</v>
      </c>
    </row>
    <row r="745" spans="1:8" x14ac:dyDescent="0.3">
      <c r="A745" s="1">
        <v>43295</v>
      </c>
      <c r="B745">
        <v>6276.1201170000004</v>
      </c>
      <c r="C745" s="2">
        <f t="shared" si="66"/>
        <v>6.1029188913315213E-3</v>
      </c>
      <c r="D745">
        <f t="shared" si="69"/>
        <v>6293.5280274000006</v>
      </c>
      <c r="E745">
        <f t="shared" si="70"/>
        <v>0</v>
      </c>
      <c r="F745" s="2">
        <f t="shared" si="71"/>
        <v>0</v>
      </c>
      <c r="G745" s="2">
        <f t="shared" si="67"/>
        <v>9.2801375760275455</v>
      </c>
      <c r="H745" s="2">
        <f t="shared" si="68"/>
        <v>19.575745973909267</v>
      </c>
    </row>
    <row r="746" spans="1:8" x14ac:dyDescent="0.3">
      <c r="A746" s="1">
        <v>43296</v>
      </c>
      <c r="B746">
        <v>6359.6401370000003</v>
      </c>
      <c r="C746" s="2">
        <f t="shared" si="66"/>
        <v>1.330758787961539E-2</v>
      </c>
      <c r="D746">
        <f t="shared" si="69"/>
        <v>6299.4660157999997</v>
      </c>
      <c r="E746">
        <f t="shared" si="70"/>
        <v>1</v>
      </c>
      <c r="F746" s="2">
        <f t="shared" si="71"/>
        <v>0</v>
      </c>
      <c r="G746" s="2">
        <f t="shared" si="67"/>
        <v>9.4036338223554523</v>
      </c>
      <c r="H746" s="2">
        <f t="shared" si="68"/>
        <v>19.575745973909267</v>
      </c>
    </row>
    <row r="747" spans="1:8" x14ac:dyDescent="0.3">
      <c r="A747" s="1">
        <v>43297</v>
      </c>
      <c r="B747">
        <v>6741.75</v>
      </c>
      <c r="C747" s="2">
        <f t="shared" si="66"/>
        <v>6.0083566800723132E-2</v>
      </c>
      <c r="D747">
        <f t="shared" si="69"/>
        <v>6368.8740235999994</v>
      </c>
      <c r="E747">
        <f t="shared" si="70"/>
        <v>1</v>
      </c>
      <c r="F747" s="2">
        <f t="shared" si="71"/>
        <v>6.0083566800723132E-2</v>
      </c>
      <c r="G747" s="2">
        <f t="shared" si="67"/>
        <v>9.9686376832904848</v>
      </c>
      <c r="H747" s="2">
        <f t="shared" si="68"/>
        <v>20.751926614806631</v>
      </c>
    </row>
    <row r="748" spans="1:8" x14ac:dyDescent="0.3">
      <c r="A748" s="1">
        <v>43298</v>
      </c>
      <c r="B748">
        <v>7321.0400390000004</v>
      </c>
      <c r="C748" s="2">
        <f t="shared" si="66"/>
        <v>8.5925766900285527E-2</v>
      </c>
      <c r="D748">
        <f t="shared" si="69"/>
        <v>6587.3200196000007</v>
      </c>
      <c r="E748">
        <f t="shared" si="70"/>
        <v>1</v>
      </c>
      <c r="F748" s="2">
        <f t="shared" si="71"/>
        <v>8.5925766900285527E-2</v>
      </c>
      <c r="G748" s="2">
        <f t="shared" si="67"/>
        <v>10.825200521178305</v>
      </c>
      <c r="H748" s="2">
        <f t="shared" si="68"/>
        <v>22.535051823842338</v>
      </c>
    </row>
    <row r="749" spans="1:8" x14ac:dyDescent="0.3">
      <c r="A749" s="1">
        <v>43299</v>
      </c>
      <c r="B749">
        <v>7370.7797849999997</v>
      </c>
      <c r="C749" s="2">
        <f t="shared" si="66"/>
        <v>6.7940819521583595E-3</v>
      </c>
      <c r="D749">
        <f t="shared" si="69"/>
        <v>6813.8660155999996</v>
      </c>
      <c r="E749">
        <f t="shared" si="70"/>
        <v>1</v>
      </c>
      <c r="F749" s="2">
        <f t="shared" si="71"/>
        <v>6.7940819521583595E-3</v>
      </c>
      <c r="G749" s="2">
        <f t="shared" si="67"/>
        <v>10.898747820667737</v>
      </c>
      <c r="H749" s="2">
        <f t="shared" si="68"/>
        <v>22.688156812729659</v>
      </c>
    </row>
    <row r="750" spans="1:8" x14ac:dyDescent="0.3">
      <c r="A750" s="1">
        <v>43300</v>
      </c>
      <c r="B750">
        <v>7466.8598629999997</v>
      </c>
      <c r="C750" s="2">
        <f t="shared" si="66"/>
        <v>1.3035266390067468E-2</v>
      </c>
      <c r="D750">
        <f t="shared" si="69"/>
        <v>7052.0139647999995</v>
      </c>
      <c r="E750">
        <f t="shared" si="70"/>
        <v>1</v>
      </c>
      <c r="F750" s="2">
        <f t="shared" si="71"/>
        <v>1.3035266390067468E-2</v>
      </c>
      <c r="G750" s="2">
        <f t="shared" si="67"/>
        <v>11.040815901828308</v>
      </c>
      <c r="H750" s="2">
        <f t="shared" si="68"/>
        <v>22.983902980683215</v>
      </c>
    </row>
    <row r="751" spans="1:8" x14ac:dyDescent="0.3">
      <c r="A751" s="1">
        <v>43301</v>
      </c>
      <c r="B751">
        <v>7354.1298829999996</v>
      </c>
      <c r="C751" s="2">
        <f t="shared" si="66"/>
        <v>-1.5097374541419017E-2</v>
      </c>
      <c r="D751">
        <f t="shared" si="69"/>
        <v>7250.9119139999993</v>
      </c>
      <c r="E751">
        <f t="shared" si="70"/>
        <v>1</v>
      </c>
      <c r="F751" s="2">
        <f t="shared" si="71"/>
        <v>-1.5097374541419017E-2</v>
      </c>
      <c r="G751" s="2">
        <f t="shared" si="67"/>
        <v>10.874128568915552</v>
      </c>
      <c r="H751" s="2">
        <f t="shared" si="68"/>
        <v>22.636906388960202</v>
      </c>
    </row>
    <row r="752" spans="1:8" x14ac:dyDescent="0.3">
      <c r="A752" s="1">
        <v>43302</v>
      </c>
      <c r="B752">
        <v>7419.2900390000004</v>
      </c>
      <c r="C752" s="2">
        <f t="shared" si="66"/>
        <v>8.8603488157894539E-3</v>
      </c>
      <c r="D752">
        <f t="shared" si="69"/>
        <v>7386.4199217999994</v>
      </c>
      <c r="E752">
        <f t="shared" si="70"/>
        <v>1</v>
      </c>
      <c r="F752" s="2">
        <f t="shared" si="71"/>
        <v>8.8603488157894539E-3</v>
      </c>
      <c r="G752" s="2">
        <f t="shared" si="67"/>
        <v>10.970477141103885</v>
      </c>
      <c r="H752" s="2">
        <f t="shared" si="68"/>
        <v>22.837477275676761</v>
      </c>
    </row>
    <row r="753" spans="1:8" x14ac:dyDescent="0.3">
      <c r="A753" s="1">
        <v>43303</v>
      </c>
      <c r="B753">
        <v>7418.4902339999999</v>
      </c>
      <c r="C753" s="2">
        <f t="shared" si="66"/>
        <v>-1.0780074586602684E-4</v>
      </c>
      <c r="D753">
        <f t="shared" si="69"/>
        <v>7405.9099607999988</v>
      </c>
      <c r="E753">
        <f t="shared" si="70"/>
        <v>1</v>
      </c>
      <c r="F753" s="2">
        <f t="shared" si="71"/>
        <v>-1.0780074586602684E-4</v>
      </c>
      <c r="G753" s="2">
        <f t="shared" si="67"/>
        <v>10.969294515485567</v>
      </c>
      <c r="H753" s="2">
        <f t="shared" si="68"/>
        <v>22.835015378592743</v>
      </c>
    </row>
    <row r="754" spans="1:8" x14ac:dyDescent="0.3">
      <c r="A754" s="1">
        <v>43304</v>
      </c>
      <c r="B754">
        <v>7711.1098629999997</v>
      </c>
      <c r="C754" s="2">
        <f t="shared" si="66"/>
        <v>3.9444633580412614E-2</v>
      </c>
      <c r="D754">
        <f t="shared" si="69"/>
        <v>7473.9759764</v>
      </c>
      <c r="E754">
        <f t="shared" si="70"/>
        <v>1</v>
      </c>
      <c r="F754" s="2">
        <f t="shared" si="71"/>
        <v>3.9444633580412614E-2</v>
      </c>
      <c r="G754" s="2">
        <f t="shared" si="67"/>
        <v>11.401974318284525</v>
      </c>
      <c r="H754" s="2">
        <f t="shared" si="68"/>
        <v>23.735734193004422</v>
      </c>
    </row>
    <row r="755" spans="1:8" x14ac:dyDescent="0.3">
      <c r="A755" s="1">
        <v>43305</v>
      </c>
      <c r="B755">
        <v>8424.2695309999999</v>
      </c>
      <c r="C755" s="2">
        <f t="shared" si="66"/>
        <v>9.2484698139490229E-2</v>
      </c>
      <c r="D755">
        <f t="shared" si="69"/>
        <v>7665.4579100000001</v>
      </c>
      <c r="E755">
        <f t="shared" si="70"/>
        <v>1</v>
      </c>
      <c r="F755" s="2">
        <f t="shared" si="71"/>
        <v>9.2484698139490229E-2</v>
      </c>
      <c r="G755" s="2">
        <f t="shared" si="67"/>
        <v>12.456482471305289</v>
      </c>
      <c r="H755" s="2">
        <f t="shared" si="68"/>
        <v>25.930926404963614</v>
      </c>
    </row>
    <row r="756" spans="1:8" x14ac:dyDescent="0.3">
      <c r="A756" s="1">
        <v>43306</v>
      </c>
      <c r="B756">
        <v>8181.3901370000003</v>
      </c>
      <c r="C756" s="2">
        <f t="shared" si="66"/>
        <v>-2.8830914431956511E-2</v>
      </c>
      <c r="D756">
        <f t="shared" si="69"/>
        <v>7830.9099608000006</v>
      </c>
      <c r="E756">
        <f t="shared" si="70"/>
        <v>1</v>
      </c>
      <c r="F756" s="2">
        <f t="shared" si="71"/>
        <v>-2.8830914431956511E-2</v>
      </c>
      <c r="G756" s="2">
        <f t="shared" si="67"/>
        <v>12.09735069105192</v>
      </c>
      <c r="H756" s="2">
        <f t="shared" si="68"/>
        <v>25.183314084640745</v>
      </c>
    </row>
    <row r="757" spans="1:8" x14ac:dyDescent="0.3">
      <c r="A757" s="1">
        <v>43307</v>
      </c>
      <c r="B757">
        <v>7951.580078</v>
      </c>
      <c r="C757" s="2">
        <f t="shared" si="66"/>
        <v>-2.8089365639794361E-2</v>
      </c>
      <c r="D757">
        <f t="shared" si="69"/>
        <v>7937.3679686000005</v>
      </c>
      <c r="E757">
        <f t="shared" si="70"/>
        <v>1</v>
      </c>
      <c r="F757" s="2">
        <f t="shared" si="71"/>
        <v>-2.8089365639794361E-2</v>
      </c>
      <c r="G757" s="2">
        <f t="shared" si="67"/>
        <v>11.757543784218143</v>
      </c>
      <c r="H757" s="2">
        <f t="shared" si="68"/>
        <v>24.475930767295488</v>
      </c>
    </row>
    <row r="758" spans="1:8" x14ac:dyDescent="0.3">
      <c r="A758" s="1">
        <v>43308</v>
      </c>
      <c r="B758">
        <v>8165.0097660000001</v>
      </c>
      <c r="C758" s="2">
        <f t="shared" si="66"/>
        <v>2.6841166900966718E-2</v>
      </c>
      <c r="D758">
        <f t="shared" si="69"/>
        <v>8086.671875</v>
      </c>
      <c r="E758">
        <f t="shared" si="70"/>
        <v>1</v>
      </c>
      <c r="F758" s="2">
        <f t="shared" si="71"/>
        <v>2.6841166900966718E-2</v>
      </c>
      <c r="G758" s="2">
        <f t="shared" si="67"/>
        <v>12.073129979275766</v>
      </c>
      <c r="H758" s="2">
        <f t="shared" si="68"/>
        <v>25.132893310076973</v>
      </c>
    </row>
    <row r="759" spans="1:8" x14ac:dyDescent="0.3">
      <c r="A759" s="1">
        <v>43309</v>
      </c>
      <c r="B759">
        <v>8192.1503909999992</v>
      </c>
      <c r="C759" s="2">
        <f t="shared" si="66"/>
        <v>3.3240162324135181E-3</v>
      </c>
      <c r="D759">
        <f t="shared" si="69"/>
        <v>8182.8799805999997</v>
      </c>
      <c r="E759">
        <f t="shared" si="70"/>
        <v>1</v>
      </c>
      <c r="F759" s="2">
        <f t="shared" si="71"/>
        <v>3.3240162324135181E-3</v>
      </c>
      <c r="G759" s="2">
        <f t="shared" si="67"/>
        <v>12.113261259302917</v>
      </c>
      <c r="H759" s="2">
        <f t="shared" si="68"/>
        <v>25.216435455407186</v>
      </c>
    </row>
    <row r="760" spans="1:8" x14ac:dyDescent="0.3">
      <c r="A760" s="1">
        <v>43310</v>
      </c>
      <c r="B760">
        <v>8218.4599610000005</v>
      </c>
      <c r="C760" s="2">
        <f t="shared" si="66"/>
        <v>3.2115584729628388E-3</v>
      </c>
      <c r="D760">
        <f t="shared" si="69"/>
        <v>8141.7180666000004</v>
      </c>
      <c r="E760">
        <f t="shared" si="70"/>
        <v>1</v>
      </c>
      <c r="F760" s="2">
        <f t="shared" si="71"/>
        <v>3.2115584729628388E-3</v>
      </c>
      <c r="G760" s="2">
        <f t="shared" si="67"/>
        <v>12.152163706135443</v>
      </c>
      <c r="H760" s="2">
        <f t="shared" si="68"/>
        <v>25.297419512351919</v>
      </c>
    </row>
    <row r="761" spans="1:8" x14ac:dyDescent="0.3">
      <c r="A761" s="1">
        <v>43311</v>
      </c>
      <c r="B761">
        <v>8180.4799800000001</v>
      </c>
      <c r="C761" s="2">
        <f t="shared" si="66"/>
        <v>-4.6213014579654654E-3</v>
      </c>
      <c r="D761">
        <f t="shared" si="69"/>
        <v>8141.5360351999989</v>
      </c>
      <c r="E761">
        <f t="shared" si="70"/>
        <v>1</v>
      </c>
      <c r="F761" s="2">
        <f t="shared" si="71"/>
        <v>-4.6213014579654654E-3</v>
      </c>
      <c r="G761" s="2">
        <f t="shared" si="67"/>
        <v>12.096004894282844</v>
      </c>
      <c r="H761" s="2">
        <f t="shared" si="68"/>
        <v>25.180512510676724</v>
      </c>
    </row>
    <row r="762" spans="1:8" x14ac:dyDescent="0.3">
      <c r="A762" s="1">
        <v>43312</v>
      </c>
      <c r="B762">
        <v>7780.4399409999996</v>
      </c>
      <c r="C762" s="2">
        <f t="shared" si="66"/>
        <v>-4.8901780821912211E-2</v>
      </c>
      <c r="D762">
        <f t="shared" si="69"/>
        <v>8107.3080078000003</v>
      </c>
      <c r="E762">
        <f t="shared" si="70"/>
        <v>0</v>
      </c>
      <c r="F762" s="2">
        <f t="shared" si="71"/>
        <v>-4.8901780821912211E-2</v>
      </c>
      <c r="G762" s="2">
        <f t="shared" si="67"/>
        <v>11.504488714121846</v>
      </c>
      <c r="H762" s="2">
        <f t="shared" si="68"/>
        <v>23.949140606896194</v>
      </c>
    </row>
    <row r="763" spans="1:8" x14ac:dyDescent="0.3">
      <c r="A763" s="1">
        <v>43313</v>
      </c>
      <c r="B763">
        <v>7624.9101559999999</v>
      </c>
      <c r="C763" s="2">
        <f t="shared" si="66"/>
        <v>-1.9989844556271952E-2</v>
      </c>
      <c r="D763">
        <f t="shared" si="69"/>
        <v>7999.2880858000008</v>
      </c>
      <c r="E763">
        <f t="shared" si="70"/>
        <v>0</v>
      </c>
      <c r="F763" s="2">
        <f t="shared" si="71"/>
        <v>0</v>
      </c>
      <c r="G763" s="2">
        <f t="shared" si="67"/>
        <v>11.274515773027165</v>
      </c>
      <c r="H763" s="2">
        <f t="shared" si="68"/>
        <v>23.949140606896194</v>
      </c>
    </row>
    <row r="764" spans="1:8" x14ac:dyDescent="0.3">
      <c r="A764" s="1">
        <v>43314</v>
      </c>
      <c r="B764">
        <v>7567.1499020000001</v>
      </c>
      <c r="C764" s="2">
        <f t="shared" si="66"/>
        <v>-7.5752045359575026E-3</v>
      </c>
      <c r="D764">
        <f t="shared" si="69"/>
        <v>7874.2879879999991</v>
      </c>
      <c r="E764">
        <f t="shared" si="70"/>
        <v>0</v>
      </c>
      <c r="F764" s="2">
        <f t="shared" si="71"/>
        <v>0</v>
      </c>
      <c r="G764" s="2">
        <f t="shared" si="67"/>
        <v>11.189109010002605</v>
      </c>
      <c r="H764" s="2">
        <f t="shared" si="68"/>
        <v>23.949140606896194</v>
      </c>
    </row>
    <row r="765" spans="1:8" x14ac:dyDescent="0.3">
      <c r="A765" s="1">
        <v>43315</v>
      </c>
      <c r="B765">
        <v>7434.3901370000003</v>
      </c>
      <c r="C765" s="2">
        <f t="shared" si="66"/>
        <v>-1.7544222953071342E-2</v>
      </c>
      <c r="D765">
        <f t="shared" si="69"/>
        <v>7717.4740231999995</v>
      </c>
      <c r="E765">
        <f t="shared" si="70"/>
        <v>0</v>
      </c>
      <c r="F765" s="2">
        <f t="shared" si="71"/>
        <v>0</v>
      </c>
      <c r="G765" s="2">
        <f t="shared" si="67"/>
        <v>10.9928047868849</v>
      </c>
      <c r="H765" s="2">
        <f t="shared" si="68"/>
        <v>23.949140606896194</v>
      </c>
    </row>
    <row r="766" spans="1:8" x14ac:dyDescent="0.3">
      <c r="A766" s="1">
        <v>43316</v>
      </c>
      <c r="B766">
        <v>7032.8500979999999</v>
      </c>
      <c r="C766" s="2">
        <f t="shared" si="66"/>
        <v>-5.4011160512223766E-2</v>
      </c>
      <c r="D766">
        <f t="shared" si="69"/>
        <v>7487.9480468000011</v>
      </c>
      <c r="E766">
        <f t="shared" si="70"/>
        <v>0</v>
      </c>
      <c r="F766" s="2">
        <f t="shared" si="71"/>
        <v>0</v>
      </c>
      <c r="G766" s="2">
        <f t="shared" si="67"/>
        <v>10.399070643060918</v>
      </c>
      <c r="H766" s="2">
        <f t="shared" si="68"/>
        <v>23.949140606896194</v>
      </c>
    </row>
    <row r="767" spans="1:8" x14ac:dyDescent="0.3">
      <c r="A767" s="1">
        <v>43317</v>
      </c>
      <c r="B767">
        <v>7068.4799800000001</v>
      </c>
      <c r="C767" s="2">
        <f t="shared" si="66"/>
        <v>5.066208081149437E-3</v>
      </c>
      <c r="D767">
        <f t="shared" si="69"/>
        <v>7345.5560545999997</v>
      </c>
      <c r="E767">
        <f t="shared" si="70"/>
        <v>0</v>
      </c>
      <c r="F767" s="2">
        <f t="shared" si="71"/>
        <v>0</v>
      </c>
      <c r="G767" s="2">
        <f t="shared" si="67"/>
        <v>10.451754498789237</v>
      </c>
      <c r="H767" s="2">
        <f t="shared" si="68"/>
        <v>23.949140606896194</v>
      </c>
    </row>
    <row r="768" spans="1:8" x14ac:dyDescent="0.3">
      <c r="A768" s="1">
        <v>43318</v>
      </c>
      <c r="B768">
        <v>6951.7998049999997</v>
      </c>
      <c r="C768" s="2">
        <f t="shared" si="66"/>
        <v>-1.6507109778925999E-2</v>
      </c>
      <c r="D768">
        <f t="shared" si="69"/>
        <v>7210.9339844000006</v>
      </c>
      <c r="E768">
        <f t="shared" si="70"/>
        <v>0</v>
      </c>
      <c r="F768" s="2">
        <f t="shared" si="71"/>
        <v>0</v>
      </c>
      <c r="G768" s="2">
        <f t="shared" si="67"/>
        <v>10.279226239895339</v>
      </c>
      <c r="H768" s="2">
        <f t="shared" si="68"/>
        <v>23.949140606896194</v>
      </c>
    </row>
    <row r="769" spans="1:8" x14ac:dyDescent="0.3">
      <c r="A769" s="1">
        <v>43319</v>
      </c>
      <c r="B769">
        <v>6753.1201170000004</v>
      </c>
      <c r="C769" s="2">
        <f t="shared" si="66"/>
        <v>-2.8579604357579669E-2</v>
      </c>
      <c r="D769">
        <f t="shared" si="69"/>
        <v>7048.1280274000001</v>
      </c>
      <c r="E769">
        <f t="shared" si="70"/>
        <v>0</v>
      </c>
      <c r="F769" s="2">
        <f t="shared" si="71"/>
        <v>0</v>
      </c>
      <c r="G769" s="2">
        <f t="shared" si="67"/>
        <v>9.985450020857078</v>
      </c>
      <c r="H769" s="2">
        <f t="shared" si="68"/>
        <v>23.949140606896194</v>
      </c>
    </row>
    <row r="770" spans="1:8" x14ac:dyDescent="0.3">
      <c r="A770" s="1">
        <v>43320</v>
      </c>
      <c r="B770">
        <v>6305.7998049999997</v>
      </c>
      <c r="C770" s="2">
        <f t="shared" si="66"/>
        <v>-6.6239057539334567E-2</v>
      </c>
      <c r="D770">
        <f t="shared" si="69"/>
        <v>6822.4099610000003</v>
      </c>
      <c r="E770">
        <f t="shared" si="70"/>
        <v>0</v>
      </c>
      <c r="F770" s="2">
        <f t="shared" si="71"/>
        <v>0</v>
      </c>
      <c r="G770" s="2">
        <f t="shared" si="67"/>
        <v>9.3240232223693766</v>
      </c>
      <c r="H770" s="2">
        <f t="shared" si="68"/>
        <v>23.949140606896194</v>
      </c>
    </row>
    <row r="771" spans="1:8" x14ac:dyDescent="0.3">
      <c r="A771" s="1">
        <v>43321</v>
      </c>
      <c r="B771">
        <v>6568.2299800000001</v>
      </c>
      <c r="C771" s="2">
        <f t="shared" si="66"/>
        <v>4.1617270309138865E-2</v>
      </c>
      <c r="D771">
        <f t="shared" si="69"/>
        <v>6729.4859373999989</v>
      </c>
      <c r="E771">
        <f t="shared" si="70"/>
        <v>0</v>
      </c>
      <c r="F771" s="2">
        <f t="shared" si="71"/>
        <v>0</v>
      </c>
      <c r="G771" s="2">
        <f t="shared" si="67"/>
        <v>9.7120636171834107</v>
      </c>
      <c r="H771" s="2">
        <f t="shared" si="68"/>
        <v>23.949140606896194</v>
      </c>
    </row>
    <row r="772" spans="1:8" x14ac:dyDescent="0.3">
      <c r="A772" s="1">
        <v>43322</v>
      </c>
      <c r="B772">
        <v>6184.7099609999996</v>
      </c>
      <c r="C772" s="2">
        <f t="shared" ref="C772:C835" si="72">B772/B771-1</f>
        <v>-5.8390162976601601E-2</v>
      </c>
      <c r="D772">
        <f t="shared" si="69"/>
        <v>6552.7319336</v>
      </c>
      <c r="E772">
        <f t="shared" si="70"/>
        <v>0</v>
      </c>
      <c r="F772" s="2">
        <f t="shared" si="71"/>
        <v>0</v>
      </c>
      <c r="G772" s="2">
        <f t="shared" ref="G772:G835" si="73">(1+C772)*G771</f>
        <v>9.1449746397369491</v>
      </c>
      <c r="H772" s="2">
        <f t="shared" ref="H772:H835" si="74">(1+F772)*H771</f>
        <v>23.949140606896194</v>
      </c>
    </row>
    <row r="773" spans="1:8" x14ac:dyDescent="0.3">
      <c r="A773" s="1">
        <v>43323</v>
      </c>
      <c r="B773">
        <v>6295.7299800000001</v>
      </c>
      <c r="C773" s="2">
        <f t="shared" si="72"/>
        <v>1.795072359093286E-2</v>
      </c>
      <c r="D773">
        <f t="shared" si="69"/>
        <v>6421.5179686000001</v>
      </c>
      <c r="E773">
        <f t="shared" si="70"/>
        <v>0</v>
      </c>
      <c r="F773" s="2">
        <f t="shared" si="71"/>
        <v>0</v>
      </c>
      <c r="G773" s="2">
        <f t="shared" si="73"/>
        <v>9.3091335517409579</v>
      </c>
      <c r="H773" s="2">
        <f t="shared" si="74"/>
        <v>23.949140606896194</v>
      </c>
    </row>
    <row r="774" spans="1:8" x14ac:dyDescent="0.3">
      <c r="A774" s="1">
        <v>43324</v>
      </c>
      <c r="B774">
        <v>6322.6899409999996</v>
      </c>
      <c r="C774" s="2">
        <f t="shared" si="72"/>
        <v>4.2822613240474094E-3</v>
      </c>
      <c r="D774">
        <f t="shared" si="69"/>
        <v>6335.4319334000002</v>
      </c>
      <c r="E774">
        <f t="shared" si="70"/>
        <v>0</v>
      </c>
      <c r="F774" s="2">
        <f t="shared" si="71"/>
        <v>0</v>
      </c>
      <c r="G774" s="2">
        <f t="shared" si="73"/>
        <v>9.3489976943099702</v>
      </c>
      <c r="H774" s="2">
        <f t="shared" si="74"/>
        <v>23.949140606896194</v>
      </c>
    </row>
    <row r="775" spans="1:8" x14ac:dyDescent="0.3">
      <c r="A775" s="1">
        <v>43325</v>
      </c>
      <c r="B775">
        <v>6297.5698240000002</v>
      </c>
      <c r="C775" s="2">
        <f t="shared" si="72"/>
        <v>-3.9730110497916415E-3</v>
      </c>
      <c r="D775">
        <f t="shared" ref="D775:D838" si="75">AVERAGE(B771:B775)</f>
        <v>6333.7859372000003</v>
      </c>
      <c r="E775">
        <f t="shared" ref="E775:E838" si="76">IF(B775&gt;D775,1,0)</f>
        <v>0</v>
      </c>
      <c r="F775" s="2">
        <f t="shared" si="71"/>
        <v>0</v>
      </c>
      <c r="G775" s="2">
        <f t="shared" si="73"/>
        <v>9.311854023166001</v>
      </c>
      <c r="H775" s="2">
        <f t="shared" si="74"/>
        <v>23.949140606896194</v>
      </c>
    </row>
    <row r="776" spans="1:8" x14ac:dyDescent="0.3">
      <c r="A776" s="1">
        <v>43326</v>
      </c>
      <c r="B776">
        <v>6199.7099609999996</v>
      </c>
      <c r="C776" s="2">
        <f t="shared" si="72"/>
        <v>-1.5539305753634824E-2</v>
      </c>
      <c r="D776">
        <f t="shared" si="75"/>
        <v>6260.0819333999998</v>
      </c>
      <c r="E776">
        <f t="shared" si="76"/>
        <v>0</v>
      </c>
      <c r="F776" s="2">
        <f t="shared" ref="F776:F839" si="77">E775*C776</f>
        <v>0</v>
      </c>
      <c r="G776" s="2">
        <f t="shared" si="73"/>
        <v>9.1671542763668104</v>
      </c>
      <c r="H776" s="2">
        <f t="shared" si="74"/>
        <v>23.949140606896194</v>
      </c>
    </row>
    <row r="777" spans="1:8" x14ac:dyDescent="0.3">
      <c r="A777" s="1">
        <v>43327</v>
      </c>
      <c r="B777">
        <v>6308.5200199999999</v>
      </c>
      <c r="C777" s="2">
        <f t="shared" si="72"/>
        <v>1.755083055247475E-2</v>
      </c>
      <c r="D777">
        <f t="shared" si="75"/>
        <v>6284.8439452000002</v>
      </c>
      <c r="E777">
        <f t="shared" si="76"/>
        <v>1</v>
      </c>
      <c r="F777" s="2">
        <f t="shared" si="77"/>
        <v>0</v>
      </c>
      <c r="G777" s="2">
        <f t="shared" si="73"/>
        <v>9.3280454477197186</v>
      </c>
      <c r="H777" s="2">
        <f t="shared" si="74"/>
        <v>23.949140606896194</v>
      </c>
    </row>
    <row r="778" spans="1:8" x14ac:dyDescent="0.3">
      <c r="A778" s="1">
        <v>43328</v>
      </c>
      <c r="B778">
        <v>6334.7299800000001</v>
      </c>
      <c r="C778" s="2">
        <f t="shared" si="72"/>
        <v>4.1546923710960026E-3</v>
      </c>
      <c r="D778">
        <f t="shared" si="75"/>
        <v>6292.6439451999995</v>
      </c>
      <c r="E778">
        <f t="shared" si="76"/>
        <v>1</v>
      </c>
      <c r="F778" s="2">
        <f t="shared" si="77"/>
        <v>4.1546923710960026E-3</v>
      </c>
      <c r="G778" s="2">
        <f t="shared" si="73"/>
        <v>9.3668006069785967</v>
      </c>
      <c r="H778" s="2">
        <f t="shared" si="74"/>
        <v>24.048641918669972</v>
      </c>
    </row>
    <row r="779" spans="1:8" x14ac:dyDescent="0.3">
      <c r="A779" s="1">
        <v>43329</v>
      </c>
      <c r="B779">
        <v>6580.6298829999996</v>
      </c>
      <c r="C779" s="2">
        <f t="shared" si="72"/>
        <v>3.8817740263018985E-2</v>
      </c>
      <c r="D779">
        <f t="shared" si="75"/>
        <v>6344.2319336</v>
      </c>
      <c r="E779">
        <f t="shared" si="76"/>
        <v>1</v>
      </c>
      <c r="F779" s="2">
        <f t="shared" si="77"/>
        <v>3.8817740263018985E-2</v>
      </c>
      <c r="G779" s="2">
        <f t="shared" si="73"/>
        <v>9.73039864003578</v>
      </c>
      <c r="H779" s="2">
        <f t="shared" si="74"/>
        <v>24.982155854347255</v>
      </c>
    </row>
    <row r="780" spans="1:8" x14ac:dyDescent="0.3">
      <c r="A780" s="1">
        <v>43330</v>
      </c>
      <c r="B780">
        <v>6423.7597660000001</v>
      </c>
      <c r="C780" s="2">
        <f t="shared" si="72"/>
        <v>-2.3838161359788446E-2</v>
      </c>
      <c r="D780">
        <f t="shared" si="75"/>
        <v>6369.4699220000002</v>
      </c>
      <c r="E780">
        <f t="shared" si="76"/>
        <v>1</v>
      </c>
      <c r="F780" s="2">
        <f t="shared" si="77"/>
        <v>-2.3838161359788446E-2</v>
      </c>
      <c r="G780" s="2">
        <f t="shared" si="73"/>
        <v>9.4984438271595408</v>
      </c>
      <c r="H780" s="2">
        <f t="shared" si="74"/>
        <v>24.38662719197594</v>
      </c>
    </row>
    <row r="781" spans="1:8" x14ac:dyDescent="0.3">
      <c r="A781" s="1">
        <v>43331</v>
      </c>
      <c r="B781">
        <v>6506.0698240000002</v>
      </c>
      <c r="C781" s="2">
        <f t="shared" si="72"/>
        <v>1.2813377367512313E-2</v>
      </c>
      <c r="D781">
        <f t="shared" si="75"/>
        <v>6430.7418946000007</v>
      </c>
      <c r="E781">
        <f t="shared" si="76"/>
        <v>1</v>
      </c>
      <c r="F781" s="2">
        <f t="shared" si="77"/>
        <v>1.2813377367512313E-2</v>
      </c>
      <c r="G781" s="2">
        <f t="shared" si="73"/>
        <v>9.6201509723210545</v>
      </c>
      <c r="H781" s="2">
        <f t="shared" si="74"/>
        <v>24.699102248907565</v>
      </c>
    </row>
    <row r="782" spans="1:8" x14ac:dyDescent="0.3">
      <c r="A782" s="1">
        <v>43332</v>
      </c>
      <c r="B782">
        <v>6308.5297849999997</v>
      </c>
      <c r="C782" s="2">
        <f t="shared" si="72"/>
        <v>-3.0362422221677066E-2</v>
      </c>
      <c r="D782">
        <f t="shared" si="75"/>
        <v>6430.7438475999998</v>
      </c>
      <c r="E782">
        <f t="shared" si="76"/>
        <v>0</v>
      </c>
      <c r="F782" s="2">
        <f t="shared" si="77"/>
        <v>-3.0362422221677066E-2</v>
      </c>
      <c r="G782" s="2">
        <f t="shared" si="73"/>
        <v>9.3280598866631657</v>
      </c>
      <c r="H782" s="2">
        <f t="shared" si="74"/>
        <v>23.94917767792986</v>
      </c>
    </row>
    <row r="783" spans="1:8" x14ac:dyDescent="0.3">
      <c r="A783" s="1">
        <v>43333</v>
      </c>
      <c r="B783">
        <v>6488.7597660000001</v>
      </c>
      <c r="C783" s="2">
        <f t="shared" si="72"/>
        <v>2.8569252605977979E-2</v>
      </c>
      <c r="D783">
        <f t="shared" si="75"/>
        <v>6461.5498047999999</v>
      </c>
      <c r="E783">
        <f t="shared" si="76"/>
        <v>1</v>
      </c>
      <c r="F783" s="2">
        <f t="shared" si="77"/>
        <v>0</v>
      </c>
      <c r="G783" s="2">
        <f t="shared" si="73"/>
        <v>9.5945555858889353</v>
      </c>
      <c r="H783" s="2">
        <f t="shared" si="74"/>
        <v>23.94917767792986</v>
      </c>
    </row>
    <row r="784" spans="1:8" x14ac:dyDescent="0.3">
      <c r="A784" s="1">
        <v>43334</v>
      </c>
      <c r="B784">
        <v>6376.7099609999996</v>
      </c>
      <c r="C784" s="2">
        <f t="shared" si="72"/>
        <v>-1.7268293023748882E-2</v>
      </c>
      <c r="D784">
        <f t="shared" si="75"/>
        <v>6420.7658203999999</v>
      </c>
      <c r="E784">
        <f t="shared" si="76"/>
        <v>0</v>
      </c>
      <c r="F784" s="2">
        <f t="shared" si="77"/>
        <v>-1.7268293023748882E-2</v>
      </c>
      <c r="G784" s="2">
        <f t="shared" si="73"/>
        <v>9.4288739885991593</v>
      </c>
      <c r="H784" s="2">
        <f t="shared" si="74"/>
        <v>23.535616260109542</v>
      </c>
    </row>
    <row r="785" spans="1:8" x14ac:dyDescent="0.3">
      <c r="A785" s="1">
        <v>43335</v>
      </c>
      <c r="B785">
        <v>6534.8798829999996</v>
      </c>
      <c r="C785" s="2">
        <f t="shared" si="72"/>
        <v>2.480431491589985E-2</v>
      </c>
      <c r="D785">
        <f t="shared" si="75"/>
        <v>6442.9898438</v>
      </c>
      <c r="E785">
        <f t="shared" si="76"/>
        <v>1</v>
      </c>
      <c r="F785" s="2">
        <f t="shared" si="77"/>
        <v>0</v>
      </c>
      <c r="G785" s="2">
        <f t="shared" si="73"/>
        <v>9.6627507483147088</v>
      </c>
      <c r="H785" s="2">
        <f t="shared" si="74"/>
        <v>23.535616260109542</v>
      </c>
    </row>
    <row r="786" spans="1:8" x14ac:dyDescent="0.3">
      <c r="A786" s="1">
        <v>43336</v>
      </c>
      <c r="B786">
        <v>6719.9599609999996</v>
      </c>
      <c r="C786" s="2">
        <f t="shared" si="72"/>
        <v>2.8321879103160308E-2</v>
      </c>
      <c r="D786">
        <f t="shared" si="75"/>
        <v>6485.7678711999997</v>
      </c>
      <c r="E786">
        <f t="shared" si="76"/>
        <v>1</v>
      </c>
      <c r="F786" s="2">
        <f t="shared" si="77"/>
        <v>2.8321879103160308E-2</v>
      </c>
      <c r="G786" s="2">
        <f t="shared" si="73"/>
        <v>9.936418006812449</v>
      </c>
      <c r="H786" s="2">
        <f t="shared" si="74"/>
        <v>24.202189138446737</v>
      </c>
    </row>
    <row r="787" spans="1:8" x14ac:dyDescent="0.3">
      <c r="A787" s="1">
        <v>43337</v>
      </c>
      <c r="B787">
        <v>6763.1899409999996</v>
      </c>
      <c r="C787" s="2">
        <f t="shared" si="72"/>
        <v>6.43307106751978E-3</v>
      </c>
      <c r="D787">
        <f t="shared" si="75"/>
        <v>6576.6999023999988</v>
      </c>
      <c r="E787">
        <f t="shared" si="76"/>
        <v>1</v>
      </c>
      <c r="F787" s="2">
        <f t="shared" si="77"/>
        <v>6.43307106751978E-3</v>
      </c>
      <c r="G787" s="2">
        <f t="shared" si="73"/>
        <v>10.000339690006857</v>
      </c>
      <c r="H787" s="2">
        <f t="shared" si="74"/>
        <v>24.357883541163922</v>
      </c>
    </row>
    <row r="788" spans="1:8" x14ac:dyDescent="0.3">
      <c r="A788" s="1">
        <v>43338</v>
      </c>
      <c r="B788">
        <v>6707.2597660000001</v>
      </c>
      <c r="C788" s="2">
        <f t="shared" si="72"/>
        <v>-8.2697921377216099E-3</v>
      </c>
      <c r="D788">
        <f t="shared" si="75"/>
        <v>6620.3999024000004</v>
      </c>
      <c r="E788">
        <f t="shared" si="76"/>
        <v>1</v>
      </c>
      <c r="F788" s="2">
        <f t="shared" si="77"/>
        <v>-8.2697921377216099E-3</v>
      </c>
      <c r="G788" s="2">
        <f t="shared" si="73"/>
        <v>9.9176389594638934</v>
      </c>
      <c r="H788" s="2">
        <f t="shared" si="74"/>
        <v>24.156448907363664</v>
      </c>
    </row>
    <row r="789" spans="1:8" x14ac:dyDescent="0.3">
      <c r="A789" s="1">
        <v>43339</v>
      </c>
      <c r="B789">
        <v>6884.6401370000003</v>
      </c>
      <c r="C789" s="2">
        <f t="shared" si="72"/>
        <v>2.6446026721548055E-2</v>
      </c>
      <c r="D789">
        <f t="shared" si="75"/>
        <v>6721.9859375999995</v>
      </c>
      <c r="E789">
        <f t="shared" si="76"/>
        <v>1</v>
      </c>
      <c r="F789" s="2">
        <f t="shared" si="77"/>
        <v>2.6446026721548055E-2</v>
      </c>
      <c r="G789" s="2">
        <f t="shared" si="73"/>
        <v>10.179921104400542</v>
      </c>
      <c r="H789" s="2">
        <f t="shared" si="74"/>
        <v>24.795291000665515</v>
      </c>
    </row>
    <row r="790" spans="1:8" x14ac:dyDescent="0.3">
      <c r="A790" s="1">
        <v>43340</v>
      </c>
      <c r="B790">
        <v>7096.2797849999997</v>
      </c>
      <c r="C790" s="2">
        <f t="shared" si="72"/>
        <v>3.0740843934977446E-2</v>
      </c>
      <c r="D790">
        <f t="shared" si="75"/>
        <v>6834.2659180000001</v>
      </c>
      <c r="E790">
        <f t="shared" si="76"/>
        <v>1</v>
      </c>
      <c r="F790" s="2">
        <f t="shared" si="77"/>
        <v>3.0740843934977446E-2</v>
      </c>
      <c r="G790" s="2">
        <f t="shared" si="73"/>
        <v>10.492860470341302</v>
      </c>
      <c r="H790" s="2">
        <f t="shared" si="74"/>
        <v>25.557519171639324</v>
      </c>
    </row>
    <row r="791" spans="1:8" x14ac:dyDescent="0.3">
      <c r="A791" s="1">
        <v>43341</v>
      </c>
      <c r="B791">
        <v>7047.1601559999999</v>
      </c>
      <c r="C791" s="2">
        <f t="shared" si="72"/>
        <v>-6.9218844927489975E-3</v>
      </c>
      <c r="D791">
        <f t="shared" si="75"/>
        <v>6899.7059570000001</v>
      </c>
      <c r="E791">
        <f t="shared" si="76"/>
        <v>1</v>
      </c>
      <c r="F791" s="2">
        <f t="shared" si="77"/>
        <v>-6.9218844927489975E-3</v>
      </c>
      <c r="G791" s="2">
        <f t="shared" si="73"/>
        <v>10.420230102167068</v>
      </c>
      <c r="H791" s="2">
        <f t="shared" si="74"/>
        <v>25.380612976012017</v>
      </c>
    </row>
    <row r="792" spans="1:8" x14ac:dyDescent="0.3">
      <c r="A792" s="1">
        <v>43342</v>
      </c>
      <c r="B792">
        <v>6978.2299800000001</v>
      </c>
      <c r="C792" s="2">
        <f t="shared" si="72"/>
        <v>-9.7812699689125981E-3</v>
      </c>
      <c r="D792">
        <f t="shared" si="75"/>
        <v>6942.7139648000011</v>
      </c>
      <c r="E792">
        <f t="shared" si="76"/>
        <v>1</v>
      </c>
      <c r="F792" s="2">
        <f t="shared" si="77"/>
        <v>-9.7812699689125981E-3</v>
      </c>
      <c r="G792" s="2">
        <f t="shared" si="73"/>
        <v>10.318307018399581</v>
      </c>
      <c r="H792" s="2">
        <f t="shared" si="74"/>
        <v>25.132358348517158</v>
      </c>
    </row>
    <row r="793" spans="1:8" x14ac:dyDescent="0.3">
      <c r="A793" s="1">
        <v>43343</v>
      </c>
      <c r="B793">
        <v>7037.580078</v>
      </c>
      <c r="C793" s="2">
        <f t="shared" si="72"/>
        <v>8.5050361151897125E-3</v>
      </c>
      <c r="D793">
        <f t="shared" si="75"/>
        <v>7008.7780272</v>
      </c>
      <c r="E793">
        <f t="shared" si="76"/>
        <v>1</v>
      </c>
      <c r="F793" s="2">
        <f t="shared" si="77"/>
        <v>8.5050361151897125E-3</v>
      </c>
      <c r="G793" s="2">
        <f t="shared" si="73"/>
        <v>10.406064592238685</v>
      </c>
      <c r="H793" s="2">
        <f t="shared" si="74"/>
        <v>25.346109963931188</v>
      </c>
    </row>
    <row r="794" spans="1:8" x14ac:dyDescent="0.3">
      <c r="A794" s="1">
        <v>43344</v>
      </c>
      <c r="B794">
        <v>7193.25</v>
      </c>
      <c r="C794" s="2">
        <f t="shared" si="72"/>
        <v>2.2119808268560304E-2</v>
      </c>
      <c r="D794">
        <f t="shared" si="75"/>
        <v>7070.4999998000003</v>
      </c>
      <c r="E794">
        <f t="shared" si="76"/>
        <v>1</v>
      </c>
      <c r="F794" s="2">
        <f t="shared" si="77"/>
        <v>2.2119808268560304E-2</v>
      </c>
      <c r="G794" s="2">
        <f t="shared" si="73"/>
        <v>10.636244745849259</v>
      </c>
      <c r="H794" s="2">
        <f t="shared" si="74"/>
        <v>25.906761056687191</v>
      </c>
    </row>
    <row r="795" spans="1:8" x14ac:dyDescent="0.3">
      <c r="A795" s="1">
        <v>43345</v>
      </c>
      <c r="B795">
        <v>7272.7202150000003</v>
      </c>
      <c r="C795" s="2">
        <f t="shared" si="72"/>
        <v>1.1047887255413169E-2</v>
      </c>
      <c r="D795">
        <f t="shared" si="75"/>
        <v>7105.7880858000008</v>
      </c>
      <c r="E795">
        <f t="shared" si="76"/>
        <v>1</v>
      </c>
      <c r="F795" s="2">
        <f t="shared" si="77"/>
        <v>1.1047887255413169E-2</v>
      </c>
      <c r="G795" s="2">
        <f t="shared" si="73"/>
        <v>10.753752778622383</v>
      </c>
      <c r="H795" s="2">
        <f t="shared" si="74"/>
        <v>26.192976031994402</v>
      </c>
    </row>
    <row r="796" spans="1:8" x14ac:dyDescent="0.3">
      <c r="A796" s="1">
        <v>43346</v>
      </c>
      <c r="B796">
        <v>7260.0600590000004</v>
      </c>
      <c r="C796" s="2">
        <f t="shared" si="72"/>
        <v>-1.7407731393115355E-3</v>
      </c>
      <c r="D796">
        <f t="shared" si="75"/>
        <v>7148.3680664000003</v>
      </c>
      <c r="E796">
        <f t="shared" si="76"/>
        <v>1</v>
      </c>
      <c r="F796" s="2">
        <f t="shared" si="77"/>
        <v>-1.7407731393115355E-3</v>
      </c>
      <c r="G796" s="2">
        <f t="shared" si="73"/>
        <v>10.735032934638561</v>
      </c>
      <c r="H796" s="2">
        <f t="shared" si="74"/>
        <v>26.147380002879274</v>
      </c>
    </row>
    <row r="797" spans="1:8" x14ac:dyDescent="0.3">
      <c r="A797" s="1">
        <v>43347</v>
      </c>
      <c r="B797">
        <v>7361.6601559999999</v>
      </c>
      <c r="C797" s="2">
        <f t="shared" si="72"/>
        <v>1.3994387949180842E-2</v>
      </c>
      <c r="D797">
        <f t="shared" si="75"/>
        <v>7225.0541016000006</v>
      </c>
      <c r="E797">
        <f t="shared" si="76"/>
        <v>1</v>
      </c>
      <c r="F797" s="2">
        <f t="shared" si="77"/>
        <v>1.3994387949180842E-2</v>
      </c>
      <c r="G797" s="2">
        <f t="shared" si="73"/>
        <v>10.885263150173126</v>
      </c>
      <c r="H797" s="2">
        <f t="shared" si="74"/>
        <v>26.51329658249422</v>
      </c>
    </row>
    <row r="798" spans="1:8" x14ac:dyDescent="0.3">
      <c r="A798" s="1">
        <v>43348</v>
      </c>
      <c r="B798">
        <v>6792.830078</v>
      </c>
      <c r="C798" s="2">
        <f t="shared" si="72"/>
        <v>-7.7269266163609074E-2</v>
      </c>
      <c r="D798">
        <f t="shared" si="75"/>
        <v>7176.1041015999999</v>
      </c>
      <c r="E798">
        <f t="shared" si="76"/>
        <v>0</v>
      </c>
      <c r="F798" s="2">
        <f t="shared" si="77"/>
        <v>-7.7269266163609074E-2</v>
      </c>
      <c r="G798" s="2">
        <f t="shared" si="73"/>
        <v>10.044166854561473</v>
      </c>
      <c r="H798" s="2">
        <f t="shared" si="74"/>
        <v>24.464633611986766</v>
      </c>
    </row>
    <row r="799" spans="1:8" x14ac:dyDescent="0.3">
      <c r="A799" s="1">
        <v>43349</v>
      </c>
      <c r="B799">
        <v>6529.169922</v>
      </c>
      <c r="C799" s="2">
        <f t="shared" si="72"/>
        <v>-3.8814478350329806E-2</v>
      </c>
      <c r="D799">
        <f t="shared" si="75"/>
        <v>7043.2880860000005</v>
      </c>
      <c r="E799">
        <f t="shared" si="76"/>
        <v>0</v>
      </c>
      <c r="F799" s="2">
        <f t="shared" si="77"/>
        <v>0</v>
      </c>
      <c r="G799" s="2">
        <f t="shared" si="73"/>
        <v>9.6543077576379961</v>
      </c>
      <c r="H799" s="2">
        <f t="shared" si="74"/>
        <v>24.464633611986766</v>
      </c>
    </row>
    <row r="800" spans="1:8" x14ac:dyDescent="0.3">
      <c r="A800" s="1">
        <v>43350</v>
      </c>
      <c r="B800">
        <v>6467.0698240000002</v>
      </c>
      <c r="C800" s="2">
        <f t="shared" si="72"/>
        <v>-9.5111781040885246E-3</v>
      </c>
      <c r="D800">
        <f t="shared" si="75"/>
        <v>6882.1580077999997</v>
      </c>
      <c r="E800">
        <f t="shared" si="76"/>
        <v>0</v>
      </c>
      <c r="F800" s="2">
        <f t="shared" si="77"/>
        <v>0</v>
      </c>
      <c r="G800" s="2">
        <f t="shared" si="73"/>
        <v>9.5624839170834175</v>
      </c>
      <c r="H800" s="2">
        <f t="shared" si="74"/>
        <v>24.464633611986766</v>
      </c>
    </row>
    <row r="801" spans="1:8" x14ac:dyDescent="0.3">
      <c r="A801" s="1">
        <v>43351</v>
      </c>
      <c r="B801">
        <v>6225.9799800000001</v>
      </c>
      <c r="C801" s="2">
        <f t="shared" si="72"/>
        <v>-3.7279610482213954E-2</v>
      </c>
      <c r="D801">
        <f t="shared" si="75"/>
        <v>6675.3419920000015</v>
      </c>
      <c r="E801">
        <f t="shared" si="76"/>
        <v>0</v>
      </c>
      <c r="F801" s="2">
        <f t="shared" si="77"/>
        <v>0</v>
      </c>
      <c r="G801" s="2">
        <f t="shared" si="73"/>
        <v>9.2059982414121126</v>
      </c>
      <c r="H801" s="2">
        <f t="shared" si="74"/>
        <v>24.464633611986766</v>
      </c>
    </row>
    <row r="802" spans="1:8" x14ac:dyDescent="0.3">
      <c r="A802" s="1">
        <v>43352</v>
      </c>
      <c r="B802">
        <v>6300.8598629999997</v>
      </c>
      <c r="C802" s="2">
        <f t="shared" si="72"/>
        <v>1.202700349833119E-2</v>
      </c>
      <c r="D802">
        <f t="shared" si="75"/>
        <v>6463.1819334000002</v>
      </c>
      <c r="E802">
        <f t="shared" si="76"/>
        <v>0</v>
      </c>
      <c r="F802" s="2">
        <f t="shared" si="77"/>
        <v>0</v>
      </c>
      <c r="G802" s="2">
        <f t="shared" si="73"/>
        <v>9.3167188144672064</v>
      </c>
      <c r="H802" s="2">
        <f t="shared" si="74"/>
        <v>24.464633611986766</v>
      </c>
    </row>
    <row r="803" spans="1:8" x14ac:dyDescent="0.3">
      <c r="A803" s="1">
        <v>43353</v>
      </c>
      <c r="B803">
        <v>6329.7001950000003</v>
      </c>
      <c r="C803" s="2">
        <f t="shared" si="72"/>
        <v>4.5772057508146613E-3</v>
      </c>
      <c r="D803">
        <f t="shared" si="75"/>
        <v>6370.5559568000008</v>
      </c>
      <c r="E803">
        <f t="shared" si="76"/>
        <v>0</v>
      </c>
      <c r="F803" s="2">
        <f t="shared" si="77"/>
        <v>0</v>
      </c>
      <c r="G803" s="2">
        <f t="shared" si="73"/>
        <v>9.3593633534035092</v>
      </c>
      <c r="H803" s="2">
        <f t="shared" si="74"/>
        <v>24.464633611986766</v>
      </c>
    </row>
    <row r="804" spans="1:8" x14ac:dyDescent="0.3">
      <c r="A804" s="1">
        <v>43354</v>
      </c>
      <c r="B804">
        <v>6321.2001950000003</v>
      </c>
      <c r="C804" s="2">
        <f t="shared" si="72"/>
        <v>-1.3428756083446736E-3</v>
      </c>
      <c r="D804">
        <f t="shared" si="75"/>
        <v>6328.9620114000008</v>
      </c>
      <c r="E804">
        <f t="shared" si="76"/>
        <v>0</v>
      </c>
      <c r="F804" s="2">
        <f t="shared" si="77"/>
        <v>0</v>
      </c>
      <c r="G804" s="2">
        <f t="shared" si="73"/>
        <v>9.3467948926465887</v>
      </c>
      <c r="H804" s="2">
        <f t="shared" si="74"/>
        <v>24.464633611986766</v>
      </c>
    </row>
    <row r="805" spans="1:8" x14ac:dyDescent="0.3">
      <c r="A805" s="1">
        <v>43355</v>
      </c>
      <c r="B805">
        <v>6351.7998049999997</v>
      </c>
      <c r="C805" s="2">
        <f t="shared" si="72"/>
        <v>4.8407911561167971E-3</v>
      </c>
      <c r="D805">
        <f t="shared" si="75"/>
        <v>6305.9080076</v>
      </c>
      <c r="E805">
        <f t="shared" si="76"/>
        <v>1</v>
      </c>
      <c r="F805" s="2">
        <f t="shared" si="77"/>
        <v>0</v>
      </c>
      <c r="G805" s="2">
        <f t="shared" si="73"/>
        <v>9.3920407747009502</v>
      </c>
      <c r="H805" s="2">
        <f t="shared" si="74"/>
        <v>24.464633611986766</v>
      </c>
    </row>
    <row r="806" spans="1:8" x14ac:dyDescent="0.3">
      <c r="A806" s="1">
        <v>43356</v>
      </c>
      <c r="B806">
        <v>6517.3100590000004</v>
      </c>
      <c r="C806" s="2">
        <f t="shared" si="72"/>
        <v>2.6057221430328292E-2</v>
      </c>
      <c r="D806">
        <f t="shared" si="75"/>
        <v>6364.1740233999999</v>
      </c>
      <c r="E806">
        <f t="shared" si="76"/>
        <v>1</v>
      </c>
      <c r="F806" s="2">
        <f t="shared" si="77"/>
        <v>2.6057221430328292E-2</v>
      </c>
      <c r="G806" s="2">
        <f t="shared" si="73"/>
        <v>9.6367712608500042</v>
      </c>
      <c r="H806" s="2">
        <f t="shared" si="74"/>
        <v>25.102113987226158</v>
      </c>
    </row>
    <row r="807" spans="1:8" x14ac:dyDescent="0.3">
      <c r="A807" s="1">
        <v>43357</v>
      </c>
      <c r="B807">
        <v>6512.7099609999996</v>
      </c>
      <c r="C807" s="2">
        <f t="shared" si="72"/>
        <v>-7.0582770473659462E-4</v>
      </c>
      <c r="D807">
        <f t="shared" si="75"/>
        <v>6406.5440429999999</v>
      </c>
      <c r="E807">
        <f t="shared" si="76"/>
        <v>1</v>
      </c>
      <c r="F807" s="2">
        <f t="shared" si="77"/>
        <v>-7.0582770473659462E-4</v>
      </c>
      <c r="G807" s="2">
        <f t="shared" si="73"/>
        <v>9.6299693607098877</v>
      </c>
      <c r="H807" s="2">
        <f t="shared" si="74"/>
        <v>25.084396219726518</v>
      </c>
    </row>
    <row r="808" spans="1:8" x14ac:dyDescent="0.3">
      <c r="A808" s="1">
        <v>43358</v>
      </c>
      <c r="B808">
        <v>6543.2001950000003</v>
      </c>
      <c r="C808" s="2">
        <f t="shared" si="72"/>
        <v>4.6816508308500371E-3</v>
      </c>
      <c r="D808">
        <f t="shared" si="75"/>
        <v>6449.2440430000006</v>
      </c>
      <c r="E808">
        <f t="shared" si="76"/>
        <v>1</v>
      </c>
      <c r="F808" s="2">
        <f t="shared" si="77"/>
        <v>4.6816508308500371E-3</v>
      </c>
      <c r="G808" s="2">
        <f t="shared" si="73"/>
        <v>9.6750535147685159</v>
      </c>
      <c r="H808" s="2">
        <f t="shared" si="74"/>
        <v>25.201832604129972</v>
      </c>
    </row>
    <row r="809" spans="1:8" x14ac:dyDescent="0.3">
      <c r="A809" s="1">
        <v>43359</v>
      </c>
      <c r="B809">
        <v>6517.1801759999998</v>
      </c>
      <c r="C809" s="2">
        <f t="shared" si="72"/>
        <v>-3.9766502971869677E-3</v>
      </c>
      <c r="D809">
        <f t="shared" si="75"/>
        <v>6488.4400391999998</v>
      </c>
      <c r="E809">
        <f t="shared" si="76"/>
        <v>1</v>
      </c>
      <c r="F809" s="2">
        <f t="shared" si="77"/>
        <v>-3.9766502971869677E-3</v>
      </c>
      <c r="G809" s="2">
        <f t="shared" si="73"/>
        <v>9.6365792103337125</v>
      </c>
      <c r="H809" s="2">
        <f t="shared" si="74"/>
        <v>25.101613729015103</v>
      </c>
    </row>
    <row r="810" spans="1:8" x14ac:dyDescent="0.3">
      <c r="A810" s="1">
        <v>43360</v>
      </c>
      <c r="B810">
        <v>6281.2001950000003</v>
      </c>
      <c r="C810" s="2">
        <f t="shared" si="72"/>
        <v>-3.6208908550512842E-2</v>
      </c>
      <c r="D810">
        <f t="shared" si="75"/>
        <v>6474.3201172000008</v>
      </c>
      <c r="E810">
        <f t="shared" si="76"/>
        <v>0</v>
      </c>
      <c r="F810" s="2">
        <f t="shared" si="77"/>
        <v>-3.6208908550512842E-2</v>
      </c>
      <c r="G810" s="2">
        <f t="shared" si="73"/>
        <v>9.2876491949669653</v>
      </c>
      <c r="H810" s="2">
        <f t="shared" si="74"/>
        <v>24.192711693030898</v>
      </c>
    </row>
    <row r="811" spans="1:8" x14ac:dyDescent="0.3">
      <c r="A811" s="1">
        <v>43361</v>
      </c>
      <c r="B811">
        <v>6371.2998049999997</v>
      </c>
      <c r="C811" s="2">
        <f t="shared" si="72"/>
        <v>1.4344330255819715E-2</v>
      </c>
      <c r="D811">
        <f t="shared" si="75"/>
        <v>6445.1180664000003</v>
      </c>
      <c r="E811">
        <f t="shared" si="76"/>
        <v>0</v>
      </c>
      <c r="F811" s="2">
        <f t="shared" si="77"/>
        <v>0</v>
      </c>
      <c r="G811" s="2">
        <f t="shared" si="73"/>
        <v>9.4208743023197687</v>
      </c>
      <c r="H811" s="2">
        <f t="shared" si="74"/>
        <v>24.192711693030898</v>
      </c>
    </row>
    <row r="812" spans="1:8" x14ac:dyDescent="0.3">
      <c r="A812" s="1">
        <v>43362</v>
      </c>
      <c r="B812">
        <v>6398.5400390000004</v>
      </c>
      <c r="C812" s="2">
        <f t="shared" si="72"/>
        <v>4.2754594562672832E-3</v>
      </c>
      <c r="D812">
        <f t="shared" si="75"/>
        <v>6422.2840820000001</v>
      </c>
      <c r="E812">
        <f t="shared" si="76"/>
        <v>0</v>
      </c>
      <c r="F812" s="2">
        <f t="shared" si="77"/>
        <v>0</v>
      </c>
      <c r="G812" s="2">
        <f t="shared" si="73"/>
        <v>9.4611528684419266</v>
      </c>
      <c r="H812" s="2">
        <f t="shared" si="74"/>
        <v>24.192711693030898</v>
      </c>
    </row>
    <row r="813" spans="1:8" x14ac:dyDescent="0.3">
      <c r="A813" s="1">
        <v>43363</v>
      </c>
      <c r="B813">
        <v>6519.669922</v>
      </c>
      <c r="C813" s="2">
        <f t="shared" si="72"/>
        <v>1.893086270644484E-2</v>
      </c>
      <c r="D813">
        <f t="shared" si="75"/>
        <v>6417.5780273999999</v>
      </c>
      <c r="E813">
        <f t="shared" si="76"/>
        <v>1</v>
      </c>
      <c r="F813" s="2">
        <f t="shared" si="77"/>
        <v>0</v>
      </c>
      <c r="G813" s="2">
        <f t="shared" si="73"/>
        <v>9.6402606544390874</v>
      </c>
      <c r="H813" s="2">
        <f t="shared" si="74"/>
        <v>24.192711693030898</v>
      </c>
    </row>
    <row r="814" spans="1:8" x14ac:dyDescent="0.3">
      <c r="A814" s="1">
        <v>43364</v>
      </c>
      <c r="B814">
        <v>6734.9501950000003</v>
      </c>
      <c r="C814" s="2">
        <f t="shared" si="72"/>
        <v>3.3020118437830481E-2</v>
      </c>
      <c r="D814">
        <f t="shared" si="75"/>
        <v>6461.1320312000007</v>
      </c>
      <c r="E814">
        <f t="shared" si="76"/>
        <v>1</v>
      </c>
      <c r="F814" s="2">
        <f t="shared" si="77"/>
        <v>3.3020118437830481E-2</v>
      </c>
      <c r="G814" s="2">
        <f t="shared" si="73"/>
        <v>9.9585832030202237</v>
      </c>
      <c r="H814" s="2">
        <f t="shared" si="74"/>
        <v>24.991557898467065</v>
      </c>
    </row>
    <row r="815" spans="1:8" x14ac:dyDescent="0.3">
      <c r="A815" s="1">
        <v>43365</v>
      </c>
      <c r="B815">
        <v>6721.9799800000001</v>
      </c>
      <c r="C815" s="2">
        <f t="shared" si="72"/>
        <v>-1.9258071143019029E-3</v>
      </c>
      <c r="D815">
        <f t="shared" si="75"/>
        <v>6549.2879881999997</v>
      </c>
      <c r="E815">
        <f t="shared" si="76"/>
        <v>1</v>
      </c>
      <c r="F815" s="2">
        <f t="shared" si="77"/>
        <v>-1.9258071143019029E-3</v>
      </c>
      <c r="G815" s="2">
        <f t="shared" si="73"/>
        <v>9.9394048926394802</v>
      </c>
      <c r="H815" s="2">
        <f t="shared" si="74"/>
        <v>24.94342897846871</v>
      </c>
    </row>
    <row r="816" spans="1:8" x14ac:dyDescent="0.3">
      <c r="A816" s="1">
        <v>43366</v>
      </c>
      <c r="B816">
        <v>6710.6298829999996</v>
      </c>
      <c r="C816" s="2">
        <f t="shared" si="72"/>
        <v>-1.688505028841325E-3</v>
      </c>
      <c r="D816">
        <f t="shared" si="75"/>
        <v>6617.1540038000003</v>
      </c>
      <c r="E816">
        <f t="shared" si="76"/>
        <v>1</v>
      </c>
      <c r="F816" s="2">
        <f t="shared" si="77"/>
        <v>-1.688505028841325E-3</v>
      </c>
      <c r="G816" s="2">
        <f t="shared" si="73"/>
        <v>9.922622157494569</v>
      </c>
      <c r="H816" s="2">
        <f t="shared" si="74"/>
        <v>24.901311873202019</v>
      </c>
    </row>
    <row r="817" spans="1:8" x14ac:dyDescent="0.3">
      <c r="A817" s="1">
        <v>43367</v>
      </c>
      <c r="B817">
        <v>6595.4101559999999</v>
      </c>
      <c r="C817" s="2">
        <f t="shared" si="72"/>
        <v>-1.7169733543476284E-2</v>
      </c>
      <c r="D817">
        <f t="shared" si="75"/>
        <v>6656.5280272</v>
      </c>
      <c r="E817">
        <f t="shared" si="76"/>
        <v>0</v>
      </c>
      <c r="F817" s="2">
        <f t="shared" si="77"/>
        <v>-1.7169733543476284E-2</v>
      </c>
      <c r="G817" s="2">
        <f t="shared" si="73"/>
        <v>9.7522533789977928</v>
      </c>
      <c r="H817" s="2">
        <f t="shared" si="74"/>
        <v>24.473762983456137</v>
      </c>
    </row>
    <row r="818" spans="1:8" x14ac:dyDescent="0.3">
      <c r="A818" s="1">
        <v>43368</v>
      </c>
      <c r="B818">
        <v>6446.4702150000003</v>
      </c>
      <c r="C818" s="2">
        <f t="shared" si="72"/>
        <v>-2.2582362199946804E-2</v>
      </c>
      <c r="D818">
        <f t="shared" si="75"/>
        <v>6641.8880858000002</v>
      </c>
      <c r="E818">
        <f t="shared" si="76"/>
        <v>0</v>
      </c>
      <c r="F818" s="2">
        <f t="shared" si="77"/>
        <v>0</v>
      </c>
      <c r="G818" s="2">
        <f t="shared" si="73"/>
        <v>9.5320244609276088</v>
      </c>
      <c r="H818" s="2">
        <f t="shared" si="74"/>
        <v>24.473762983456137</v>
      </c>
    </row>
    <row r="819" spans="1:8" x14ac:dyDescent="0.3">
      <c r="A819" s="1">
        <v>43369</v>
      </c>
      <c r="B819">
        <v>6495</v>
      </c>
      <c r="C819" s="2">
        <f t="shared" si="72"/>
        <v>7.5281174629611147E-3</v>
      </c>
      <c r="D819">
        <f t="shared" si="75"/>
        <v>6593.8980467999991</v>
      </c>
      <c r="E819">
        <f t="shared" si="76"/>
        <v>0</v>
      </c>
      <c r="F819" s="2">
        <f t="shared" si="77"/>
        <v>0</v>
      </c>
      <c r="G819" s="2">
        <f t="shared" si="73"/>
        <v>9.6037826607292907</v>
      </c>
      <c r="H819" s="2">
        <f t="shared" si="74"/>
        <v>24.473762983456137</v>
      </c>
    </row>
    <row r="820" spans="1:8" x14ac:dyDescent="0.3">
      <c r="A820" s="1">
        <v>43370</v>
      </c>
      <c r="B820">
        <v>6676.75</v>
      </c>
      <c r="C820" s="2">
        <f t="shared" si="72"/>
        <v>2.7983063895304028E-2</v>
      </c>
      <c r="D820">
        <f t="shared" si="75"/>
        <v>6584.8520508000001</v>
      </c>
      <c r="E820">
        <f t="shared" si="76"/>
        <v>1</v>
      </c>
      <c r="F820" s="2">
        <f t="shared" si="77"/>
        <v>0</v>
      </c>
      <c r="G820" s="2">
        <f t="shared" si="73"/>
        <v>9.8725259245610921</v>
      </c>
      <c r="H820" s="2">
        <f t="shared" si="74"/>
        <v>24.473762983456137</v>
      </c>
    </row>
    <row r="821" spans="1:8" x14ac:dyDescent="0.3">
      <c r="A821" s="1">
        <v>43371</v>
      </c>
      <c r="B821">
        <v>6644.1298829999996</v>
      </c>
      <c r="C821" s="2">
        <f t="shared" si="72"/>
        <v>-4.8856280375931815E-3</v>
      </c>
      <c r="D821">
        <f t="shared" si="75"/>
        <v>6571.5520508</v>
      </c>
      <c r="E821">
        <f t="shared" si="76"/>
        <v>1</v>
      </c>
      <c r="F821" s="2">
        <f t="shared" si="77"/>
        <v>-4.8856280375931815E-3</v>
      </c>
      <c r="G821" s="2">
        <f t="shared" si="73"/>
        <v>9.8242924351021905</v>
      </c>
      <c r="H821" s="2">
        <f t="shared" si="74"/>
        <v>24.354193280838754</v>
      </c>
    </row>
    <row r="822" spans="1:8" x14ac:dyDescent="0.3">
      <c r="A822" s="1">
        <v>43372</v>
      </c>
      <c r="B822">
        <v>6601.9599609999996</v>
      </c>
      <c r="C822" s="2">
        <f t="shared" si="72"/>
        <v>-6.3469442564477729E-3</v>
      </c>
      <c r="D822">
        <f t="shared" si="75"/>
        <v>6572.8620118000008</v>
      </c>
      <c r="E822">
        <f t="shared" si="76"/>
        <v>1</v>
      </c>
      <c r="F822" s="2">
        <f t="shared" si="77"/>
        <v>-6.3469442564477729E-3</v>
      </c>
      <c r="G822" s="2">
        <f t="shared" si="73"/>
        <v>9.7619381986575551</v>
      </c>
      <c r="H822" s="2">
        <f t="shared" si="74"/>
        <v>24.199618573674517</v>
      </c>
    </row>
    <row r="823" spans="1:8" x14ac:dyDescent="0.3">
      <c r="A823" s="1">
        <v>43373</v>
      </c>
      <c r="B823">
        <v>6625.5600590000004</v>
      </c>
      <c r="C823" s="2">
        <f t="shared" si="72"/>
        <v>3.5747108645636239E-3</v>
      </c>
      <c r="D823">
        <f t="shared" si="75"/>
        <v>6608.6799806000008</v>
      </c>
      <c r="E823">
        <f t="shared" si="76"/>
        <v>1</v>
      </c>
      <c r="F823" s="2">
        <f t="shared" si="77"/>
        <v>3.5747108645636239E-3</v>
      </c>
      <c r="G823" s="2">
        <f t="shared" si="73"/>
        <v>9.7968343051954943</v>
      </c>
      <c r="H823" s="2">
        <f t="shared" si="74"/>
        <v>24.286125213108125</v>
      </c>
    </row>
    <row r="824" spans="1:8" x14ac:dyDescent="0.3">
      <c r="A824" s="1">
        <v>43374</v>
      </c>
      <c r="B824">
        <v>6589.6201170000004</v>
      </c>
      <c r="C824" s="2">
        <f t="shared" si="72"/>
        <v>-5.4244383387906936E-3</v>
      </c>
      <c r="D824">
        <f t="shared" si="75"/>
        <v>6627.6040039999989</v>
      </c>
      <c r="E824">
        <f t="shared" si="76"/>
        <v>0</v>
      </c>
      <c r="F824" s="2">
        <f t="shared" si="77"/>
        <v>-5.4244383387906936E-3</v>
      </c>
      <c r="G824" s="2">
        <f t="shared" si="73"/>
        <v>9.7436919815916117</v>
      </c>
      <c r="H824" s="2">
        <f t="shared" si="74"/>
        <v>24.154386624401472</v>
      </c>
    </row>
    <row r="825" spans="1:8" x14ac:dyDescent="0.3">
      <c r="A825" s="1">
        <v>43375</v>
      </c>
      <c r="B825">
        <v>6556.1000979999999</v>
      </c>
      <c r="C825" s="2">
        <f t="shared" si="72"/>
        <v>-5.0867908020258978E-3</v>
      </c>
      <c r="D825">
        <f t="shared" si="75"/>
        <v>6603.4740235999998</v>
      </c>
      <c r="E825">
        <f t="shared" si="76"/>
        <v>0</v>
      </c>
      <c r="F825" s="2">
        <f t="shared" si="77"/>
        <v>0</v>
      </c>
      <c r="G825" s="2">
        <f t="shared" si="73"/>
        <v>9.6941278588418776</v>
      </c>
      <c r="H825" s="2">
        <f t="shared" si="74"/>
        <v>24.154386624401472</v>
      </c>
    </row>
    <row r="826" spans="1:8" x14ac:dyDescent="0.3">
      <c r="A826" s="1">
        <v>43376</v>
      </c>
      <c r="B826">
        <v>6502.5898440000001</v>
      </c>
      <c r="C826" s="2">
        <f t="shared" si="72"/>
        <v>-8.1619031436575007E-3</v>
      </c>
      <c r="D826">
        <f t="shared" si="75"/>
        <v>6575.1660157999995</v>
      </c>
      <c r="E826">
        <f t="shared" si="76"/>
        <v>0</v>
      </c>
      <c r="F826" s="2">
        <f t="shared" si="77"/>
        <v>0</v>
      </c>
      <c r="G826" s="2">
        <f t="shared" si="73"/>
        <v>9.615005326195778</v>
      </c>
      <c r="H826" s="2">
        <f t="shared" si="74"/>
        <v>24.154386624401472</v>
      </c>
    </row>
    <row r="827" spans="1:8" x14ac:dyDescent="0.3">
      <c r="A827" s="1">
        <v>43377</v>
      </c>
      <c r="B827">
        <v>6576.6899409999996</v>
      </c>
      <c r="C827" s="2">
        <f t="shared" si="72"/>
        <v>1.1395474538252293E-2</v>
      </c>
      <c r="D827">
        <f t="shared" si="75"/>
        <v>6570.112011799999</v>
      </c>
      <c r="E827">
        <f t="shared" si="76"/>
        <v>1</v>
      </c>
      <c r="F827" s="2">
        <f t="shared" si="77"/>
        <v>0</v>
      </c>
      <c r="G827" s="2">
        <f t="shared" si="73"/>
        <v>9.7245728745756015</v>
      </c>
      <c r="H827" s="2">
        <f t="shared" si="74"/>
        <v>24.154386624401472</v>
      </c>
    </row>
    <row r="828" spans="1:8" x14ac:dyDescent="0.3">
      <c r="A828" s="1">
        <v>43378</v>
      </c>
      <c r="B828">
        <v>6622.4799800000001</v>
      </c>
      <c r="C828" s="2">
        <f t="shared" si="72"/>
        <v>6.9624749548460318E-3</v>
      </c>
      <c r="D828">
        <f t="shared" si="75"/>
        <v>6569.4959960000006</v>
      </c>
      <c r="E828">
        <f t="shared" si="76"/>
        <v>1</v>
      </c>
      <c r="F828" s="2">
        <f t="shared" si="77"/>
        <v>6.9624749548460318E-3</v>
      </c>
      <c r="G828" s="2">
        <f t="shared" si="73"/>
        <v>9.7922799696614096</v>
      </c>
      <c r="H828" s="2">
        <f t="shared" si="74"/>
        <v>24.322560936323534</v>
      </c>
    </row>
    <row r="829" spans="1:8" x14ac:dyDescent="0.3">
      <c r="A829" s="1">
        <v>43379</v>
      </c>
      <c r="B829">
        <v>6588.3100590000004</v>
      </c>
      <c r="C829" s="2">
        <f t="shared" si="72"/>
        <v>-5.159686568052102E-3</v>
      </c>
      <c r="D829">
        <f t="shared" si="75"/>
        <v>6569.2339843999998</v>
      </c>
      <c r="E829">
        <f t="shared" si="76"/>
        <v>1</v>
      </c>
      <c r="F829" s="2">
        <f t="shared" si="77"/>
        <v>-5.159686568052102E-3</v>
      </c>
      <c r="G829" s="2">
        <f t="shared" si="73"/>
        <v>9.7417548742313418</v>
      </c>
      <c r="H829" s="2">
        <f t="shared" si="74"/>
        <v>24.197064145359757</v>
      </c>
    </row>
    <row r="830" spans="1:8" x14ac:dyDescent="0.3">
      <c r="A830" s="1">
        <v>43380</v>
      </c>
      <c r="B830">
        <v>6602.9501950000003</v>
      </c>
      <c r="C830" s="2">
        <f t="shared" si="72"/>
        <v>2.2221382826390634E-3</v>
      </c>
      <c r="D830">
        <f t="shared" si="75"/>
        <v>6578.6040037999992</v>
      </c>
      <c r="E830">
        <f t="shared" si="76"/>
        <v>1</v>
      </c>
      <c r="F830" s="2">
        <f t="shared" si="77"/>
        <v>2.2221382826390634E-3</v>
      </c>
      <c r="G830" s="2">
        <f t="shared" si="73"/>
        <v>9.7634024006774567</v>
      </c>
      <c r="H830" s="2">
        <f t="shared" si="74"/>
        <v>24.250833367924635</v>
      </c>
    </row>
    <row r="831" spans="1:8" x14ac:dyDescent="0.3">
      <c r="A831" s="1">
        <v>43381</v>
      </c>
      <c r="B831">
        <v>6652.2299800000001</v>
      </c>
      <c r="C831" s="2">
        <f t="shared" si="72"/>
        <v>7.4632980023559004E-3</v>
      </c>
      <c r="D831">
        <f t="shared" si="75"/>
        <v>6608.5320310000006</v>
      </c>
      <c r="E831">
        <f t="shared" si="76"/>
        <v>1</v>
      </c>
      <c r="F831" s="2">
        <f t="shared" si="77"/>
        <v>7.4632980023559004E-3</v>
      </c>
      <c r="G831" s="2">
        <f t="shared" si="73"/>
        <v>9.8362695823106296</v>
      </c>
      <c r="H831" s="2">
        <f t="shared" si="74"/>
        <v>24.431824564154933</v>
      </c>
    </row>
    <row r="832" spans="1:8" x14ac:dyDescent="0.3">
      <c r="A832" s="1">
        <v>43382</v>
      </c>
      <c r="B832">
        <v>6642.6401370000003</v>
      </c>
      <c r="C832" s="2">
        <f t="shared" si="72"/>
        <v>-1.4415982353033208E-3</v>
      </c>
      <c r="D832">
        <f t="shared" si="75"/>
        <v>6621.7220702000004</v>
      </c>
      <c r="E832">
        <f t="shared" si="76"/>
        <v>1</v>
      </c>
      <c r="F832" s="2">
        <f t="shared" si="77"/>
        <v>-1.4415982353033208E-3</v>
      </c>
      <c r="G832" s="2">
        <f t="shared" si="73"/>
        <v>9.8220896334388037</v>
      </c>
      <c r="H832" s="2">
        <f t="shared" si="74"/>
        <v>24.396603688978008</v>
      </c>
    </row>
    <row r="833" spans="1:8" x14ac:dyDescent="0.3">
      <c r="A833" s="1">
        <v>43383</v>
      </c>
      <c r="B833">
        <v>6585.5297849999997</v>
      </c>
      <c r="C833" s="2">
        <f t="shared" si="72"/>
        <v>-8.5975381508162085E-3</v>
      </c>
      <c r="D833">
        <f t="shared" si="75"/>
        <v>6614.3320311999996</v>
      </c>
      <c r="E833">
        <f t="shared" si="76"/>
        <v>0</v>
      </c>
      <c r="F833" s="2">
        <f t="shared" si="77"/>
        <v>-8.5975381508162085E-3</v>
      </c>
      <c r="G833" s="2">
        <f t="shared" si="73"/>
        <v>9.7376438430945775</v>
      </c>
      <c r="H833" s="2">
        <f t="shared" si="74"/>
        <v>24.186852958011677</v>
      </c>
    </row>
    <row r="834" spans="1:8" x14ac:dyDescent="0.3">
      <c r="A834" s="1">
        <v>43384</v>
      </c>
      <c r="B834">
        <v>6256.2402339999999</v>
      </c>
      <c r="C834" s="2">
        <f t="shared" si="72"/>
        <v>-5.0001983401552486E-2</v>
      </c>
      <c r="D834">
        <f t="shared" si="75"/>
        <v>6547.9180662000008</v>
      </c>
      <c r="E834">
        <f t="shared" si="76"/>
        <v>0</v>
      </c>
      <c r="F834" s="2">
        <f t="shared" si="77"/>
        <v>0</v>
      </c>
      <c r="G834" s="2">
        <f t="shared" si="73"/>
        <v>9.2507423372819328</v>
      </c>
      <c r="H834" s="2">
        <f t="shared" si="74"/>
        <v>24.186852958011677</v>
      </c>
    </row>
    <row r="835" spans="1:8" x14ac:dyDescent="0.3">
      <c r="A835" s="1">
        <v>43385</v>
      </c>
      <c r="B835">
        <v>6274.580078</v>
      </c>
      <c r="C835" s="2">
        <f t="shared" si="72"/>
        <v>2.9314481723912156E-3</v>
      </c>
      <c r="D835">
        <f t="shared" si="75"/>
        <v>6482.2440428</v>
      </c>
      <c r="E835">
        <f t="shared" si="76"/>
        <v>0</v>
      </c>
      <c r="F835" s="2">
        <f t="shared" si="77"/>
        <v>0</v>
      </c>
      <c r="G835" s="2">
        <f t="shared" si="73"/>
        <v>9.2778604089998193</v>
      </c>
      <c r="H835" s="2">
        <f t="shared" si="74"/>
        <v>24.186852958011677</v>
      </c>
    </row>
    <row r="836" spans="1:8" x14ac:dyDescent="0.3">
      <c r="A836" s="1">
        <v>43386</v>
      </c>
      <c r="B836">
        <v>6285.9902339999999</v>
      </c>
      <c r="C836" s="2">
        <f t="shared" ref="C836:C899" si="78">B836/B835-1</f>
        <v>1.8184732457247055E-3</v>
      </c>
      <c r="D836">
        <f t="shared" si="75"/>
        <v>6408.9960936000007</v>
      </c>
      <c r="E836">
        <f t="shared" si="76"/>
        <v>0</v>
      </c>
      <c r="F836" s="2">
        <f t="shared" si="77"/>
        <v>0</v>
      </c>
      <c r="G836" s="2">
        <f t="shared" ref="G836:G899" si="79">(1+C836)*G835</f>
        <v>9.2947319499311547</v>
      </c>
      <c r="H836" s="2">
        <f t="shared" ref="H836:H899" si="80">(1+F836)*H835</f>
        <v>24.186852958011677</v>
      </c>
    </row>
    <row r="837" spans="1:8" x14ac:dyDescent="0.3">
      <c r="A837" s="1">
        <v>43387</v>
      </c>
      <c r="B837">
        <v>6290.9301759999998</v>
      </c>
      <c r="C837" s="2">
        <f t="shared" si="78"/>
        <v>7.858653634682522E-4</v>
      </c>
      <c r="D837">
        <f t="shared" si="75"/>
        <v>6338.6541014000004</v>
      </c>
      <c r="E837">
        <f t="shared" si="76"/>
        <v>0</v>
      </c>
      <c r="F837" s="2">
        <f t="shared" si="77"/>
        <v>0</v>
      </c>
      <c r="G837" s="2">
        <f t="shared" si="79"/>
        <v>9.3020363578333267</v>
      </c>
      <c r="H837" s="2">
        <f t="shared" si="80"/>
        <v>24.186852958011677</v>
      </c>
    </row>
    <row r="838" spans="1:8" x14ac:dyDescent="0.3">
      <c r="A838" s="1">
        <v>43388</v>
      </c>
      <c r="B838">
        <v>6596.5400390000004</v>
      </c>
      <c r="C838" s="2">
        <f t="shared" si="78"/>
        <v>4.8579439677443492E-2</v>
      </c>
      <c r="D838">
        <f t="shared" si="75"/>
        <v>6340.8561522</v>
      </c>
      <c r="E838">
        <f t="shared" si="76"/>
        <v>1</v>
      </c>
      <c r="F838" s="2">
        <f t="shared" si="77"/>
        <v>0</v>
      </c>
      <c r="G838" s="2">
        <f t="shared" si="79"/>
        <v>9.7539240719560762</v>
      </c>
      <c r="H838" s="2">
        <f t="shared" si="80"/>
        <v>24.186852958011677</v>
      </c>
    </row>
    <row r="839" spans="1:8" x14ac:dyDescent="0.3">
      <c r="A839" s="1">
        <v>43389</v>
      </c>
      <c r="B839">
        <v>6596.1098629999997</v>
      </c>
      <c r="C839" s="2">
        <f t="shared" si="78"/>
        <v>-6.5212368523082098E-5</v>
      </c>
      <c r="D839">
        <f t="shared" ref="D839:D902" si="81">AVERAGE(B835:B839)</f>
        <v>6408.830077999999</v>
      </c>
      <c r="E839">
        <f t="shared" ref="E839:E902" si="82">IF(B839&gt;D839,1,0)</f>
        <v>1</v>
      </c>
      <c r="F839" s="2">
        <f t="shared" si="77"/>
        <v>-6.5212368523082098E-5</v>
      </c>
      <c r="G839" s="2">
        <f t="shared" si="79"/>
        <v>9.7532879954649498</v>
      </c>
      <c r="H839" s="2">
        <f t="shared" si="80"/>
        <v>24.185275676043165</v>
      </c>
    </row>
    <row r="840" spans="1:8" x14ac:dyDescent="0.3">
      <c r="A840" s="1">
        <v>43390</v>
      </c>
      <c r="B840">
        <v>6544.4301759999998</v>
      </c>
      <c r="C840" s="2">
        <f t="shared" si="78"/>
        <v>-7.8348735957067817E-3</v>
      </c>
      <c r="D840">
        <f t="shared" si="81"/>
        <v>6462.8000975999994</v>
      </c>
      <c r="E840">
        <f t="shared" si="82"/>
        <v>1</v>
      </c>
      <c r="F840" s="2">
        <f t="shared" ref="F840:F903" si="83">E839*C840</f>
        <v>-7.8348735957067817E-3</v>
      </c>
      <c r="G840" s="2">
        <f t="shared" si="79"/>
        <v>9.6768722168779568</v>
      </c>
      <c r="H840" s="2">
        <f t="shared" si="80"/>
        <v>23.995787098244044</v>
      </c>
    </row>
    <row r="841" spans="1:8" x14ac:dyDescent="0.3">
      <c r="A841" s="1">
        <v>43391</v>
      </c>
      <c r="B841">
        <v>6476.7099609999996</v>
      </c>
      <c r="C841" s="2">
        <f t="shared" si="78"/>
        <v>-1.0347763392502318E-2</v>
      </c>
      <c r="D841">
        <f t="shared" si="81"/>
        <v>6500.9440430000004</v>
      </c>
      <c r="E841">
        <f t="shared" si="82"/>
        <v>0</v>
      </c>
      <c r="F841" s="2">
        <f t="shared" si="83"/>
        <v>-1.0347763392502318E-2</v>
      </c>
      <c r="G841" s="2">
        <f t="shared" si="79"/>
        <v>9.576738232798224</v>
      </c>
      <c r="H841" s="2">
        <f t="shared" si="80"/>
        <v>23.747484370934554</v>
      </c>
    </row>
    <row r="842" spans="1:8" x14ac:dyDescent="0.3">
      <c r="A842" s="1">
        <v>43392</v>
      </c>
      <c r="B842">
        <v>6465.4101559999999</v>
      </c>
      <c r="C842" s="2">
        <f t="shared" si="78"/>
        <v>-1.7446828819017712E-3</v>
      </c>
      <c r="D842">
        <f t="shared" si="81"/>
        <v>6535.8400389999997</v>
      </c>
      <c r="E842">
        <f t="shared" si="82"/>
        <v>0</v>
      </c>
      <c r="F842" s="2">
        <f t="shared" si="83"/>
        <v>0</v>
      </c>
      <c r="G842" s="2">
        <f t="shared" si="79"/>
        <v>9.5600298615390074</v>
      </c>
      <c r="H842" s="2">
        <f t="shared" si="80"/>
        <v>23.747484370934554</v>
      </c>
    </row>
    <row r="843" spans="1:8" x14ac:dyDescent="0.3">
      <c r="A843" s="1">
        <v>43393</v>
      </c>
      <c r="B843">
        <v>6489.1899409999996</v>
      </c>
      <c r="C843" s="2">
        <f t="shared" si="78"/>
        <v>3.6780009970336369E-3</v>
      </c>
      <c r="D843">
        <f t="shared" si="81"/>
        <v>6514.3700193999994</v>
      </c>
      <c r="E843">
        <f t="shared" si="82"/>
        <v>0</v>
      </c>
      <c r="F843" s="2">
        <f t="shared" si="83"/>
        <v>0</v>
      </c>
      <c r="G843" s="2">
        <f t="shared" si="79"/>
        <v>9.5951916609014187</v>
      </c>
      <c r="H843" s="2">
        <f t="shared" si="80"/>
        <v>23.747484370934554</v>
      </c>
    </row>
    <row r="844" spans="1:8" x14ac:dyDescent="0.3">
      <c r="A844" s="1">
        <v>43394</v>
      </c>
      <c r="B844">
        <v>6482.3500979999999</v>
      </c>
      <c r="C844" s="2">
        <f t="shared" si="78"/>
        <v>-1.0540364917944745E-3</v>
      </c>
      <c r="D844">
        <f t="shared" si="81"/>
        <v>6491.6180664000003</v>
      </c>
      <c r="E844">
        <f t="shared" si="82"/>
        <v>0</v>
      </c>
      <c r="F844" s="2">
        <f t="shared" si="83"/>
        <v>0</v>
      </c>
      <c r="G844" s="2">
        <f t="shared" si="79"/>
        <v>9.5850779787450673</v>
      </c>
      <c r="H844" s="2">
        <f t="shared" si="80"/>
        <v>23.747484370934554</v>
      </c>
    </row>
    <row r="845" spans="1:8" x14ac:dyDescent="0.3">
      <c r="A845" s="1">
        <v>43395</v>
      </c>
      <c r="B845">
        <v>6487.1601559999999</v>
      </c>
      <c r="C845" s="2">
        <f t="shared" si="78"/>
        <v>7.4202379187826573E-4</v>
      </c>
      <c r="D845">
        <f t="shared" si="81"/>
        <v>6480.1640623999992</v>
      </c>
      <c r="E845">
        <f t="shared" si="82"/>
        <v>1</v>
      </c>
      <c r="F845" s="2">
        <f t="shared" si="83"/>
        <v>0</v>
      </c>
      <c r="G845" s="2">
        <f t="shared" si="79"/>
        <v>9.5921903346523045</v>
      </c>
      <c r="H845" s="2">
        <f t="shared" si="80"/>
        <v>23.747484370934554</v>
      </c>
    </row>
    <row r="846" spans="1:8" x14ac:dyDescent="0.3">
      <c r="A846" s="1">
        <v>43396</v>
      </c>
      <c r="B846">
        <v>6475.7402339999999</v>
      </c>
      <c r="C846" s="2">
        <f t="shared" si="78"/>
        <v>-1.7603884789922919E-3</v>
      </c>
      <c r="D846">
        <f t="shared" si="81"/>
        <v>6479.9701169999989</v>
      </c>
      <c r="E846">
        <f t="shared" si="82"/>
        <v>0</v>
      </c>
      <c r="F846" s="2">
        <f t="shared" si="83"/>
        <v>-1.7603884789922919E-3</v>
      </c>
      <c r="G846" s="2">
        <f t="shared" si="79"/>
        <v>9.5753043532988809</v>
      </c>
      <c r="H846" s="2">
        <f t="shared" si="80"/>
        <v>23.705679573042911</v>
      </c>
    </row>
    <row r="847" spans="1:8" x14ac:dyDescent="0.3">
      <c r="A847" s="1">
        <v>43397</v>
      </c>
      <c r="B847">
        <v>6495.8398440000001</v>
      </c>
      <c r="C847" s="2">
        <f t="shared" si="78"/>
        <v>3.1038320367562378E-3</v>
      </c>
      <c r="D847">
        <f t="shared" si="81"/>
        <v>6486.0560545999997</v>
      </c>
      <c r="E847">
        <f t="shared" si="82"/>
        <v>1</v>
      </c>
      <c r="F847" s="2">
        <f t="shared" si="83"/>
        <v>0</v>
      </c>
      <c r="G847" s="2">
        <f t="shared" si="79"/>
        <v>9.605024489712342</v>
      </c>
      <c r="H847" s="2">
        <f t="shared" si="80"/>
        <v>23.705679573042911</v>
      </c>
    </row>
    <row r="848" spans="1:8" x14ac:dyDescent="0.3">
      <c r="A848" s="1">
        <v>43398</v>
      </c>
      <c r="B848">
        <v>6476.2900390000004</v>
      </c>
      <c r="C848" s="2">
        <f t="shared" si="78"/>
        <v>-3.0095885165729586E-3</v>
      </c>
      <c r="D848">
        <f t="shared" si="81"/>
        <v>6483.4760741999999</v>
      </c>
      <c r="E848">
        <f t="shared" si="82"/>
        <v>0</v>
      </c>
      <c r="F848" s="2">
        <f t="shared" si="83"/>
        <v>-3.0095885165729586E-3</v>
      </c>
      <c r="G848" s="2">
        <f t="shared" si="79"/>
        <v>9.5761173183067019</v>
      </c>
      <c r="H848" s="2">
        <f t="shared" si="80"/>
        <v>23.634335232022323</v>
      </c>
    </row>
    <row r="849" spans="1:8" x14ac:dyDescent="0.3">
      <c r="A849" s="1">
        <v>43399</v>
      </c>
      <c r="B849">
        <v>6474.75</v>
      </c>
      <c r="C849" s="2">
        <f t="shared" si="78"/>
        <v>-2.3779648390154229E-4</v>
      </c>
      <c r="D849">
        <f t="shared" si="81"/>
        <v>6481.9560545999993</v>
      </c>
      <c r="E849">
        <f t="shared" si="82"/>
        <v>0</v>
      </c>
      <c r="F849" s="2">
        <f t="shared" si="83"/>
        <v>0</v>
      </c>
      <c r="G849" s="2">
        <f t="shared" si="79"/>
        <v>9.5738401512789792</v>
      </c>
      <c r="H849" s="2">
        <f t="shared" si="80"/>
        <v>23.634335232022323</v>
      </c>
    </row>
    <row r="850" spans="1:8" x14ac:dyDescent="0.3">
      <c r="A850" s="1">
        <v>43400</v>
      </c>
      <c r="B850">
        <v>6480.3798829999996</v>
      </c>
      <c r="C850" s="2">
        <f t="shared" si="78"/>
        <v>8.6951357195252932E-4</v>
      </c>
      <c r="D850">
        <f t="shared" si="81"/>
        <v>6480.6</v>
      </c>
      <c r="E850">
        <f t="shared" si="82"/>
        <v>0</v>
      </c>
      <c r="F850" s="2">
        <f t="shared" si="83"/>
        <v>0</v>
      </c>
      <c r="G850" s="2">
        <f t="shared" si="79"/>
        <v>9.58216473522622</v>
      </c>
      <c r="H850" s="2">
        <f t="shared" si="80"/>
        <v>23.634335232022323</v>
      </c>
    </row>
    <row r="851" spans="1:8" x14ac:dyDescent="0.3">
      <c r="A851" s="1">
        <v>43401</v>
      </c>
      <c r="B851">
        <v>6486.3901370000003</v>
      </c>
      <c r="C851" s="2">
        <f t="shared" si="78"/>
        <v>9.2745396234672484E-4</v>
      </c>
      <c r="D851">
        <f t="shared" si="81"/>
        <v>6482.729980600001</v>
      </c>
      <c r="E851">
        <f t="shared" si="82"/>
        <v>1</v>
      </c>
      <c r="F851" s="2">
        <f t="shared" si="83"/>
        <v>0</v>
      </c>
      <c r="G851" s="2">
        <f t="shared" si="79"/>
        <v>9.5910517518777638</v>
      </c>
      <c r="H851" s="2">
        <f t="shared" si="80"/>
        <v>23.634335232022323</v>
      </c>
    </row>
    <row r="852" spans="1:8" x14ac:dyDescent="0.3">
      <c r="A852" s="1">
        <v>43402</v>
      </c>
      <c r="B852">
        <v>6332.6298829999996</v>
      </c>
      <c r="C852" s="2">
        <f t="shared" si="78"/>
        <v>-2.3705057937066343E-2</v>
      </c>
      <c r="D852">
        <f t="shared" si="81"/>
        <v>6450.0879884000005</v>
      </c>
      <c r="E852">
        <f t="shared" si="82"/>
        <v>0</v>
      </c>
      <c r="F852" s="2">
        <f t="shared" si="83"/>
        <v>-2.3705057937066343E-2</v>
      </c>
      <c r="G852" s="2">
        <f t="shared" si="79"/>
        <v>9.3636953144220989</v>
      </c>
      <c r="H852" s="2">
        <f t="shared" si="80"/>
        <v>23.074081946043187</v>
      </c>
    </row>
    <row r="853" spans="1:8" x14ac:dyDescent="0.3">
      <c r="A853" s="1">
        <v>43403</v>
      </c>
      <c r="B853">
        <v>6334.2700199999999</v>
      </c>
      <c r="C853" s="2">
        <f t="shared" si="78"/>
        <v>2.5899776716831191E-4</v>
      </c>
      <c r="D853">
        <f t="shared" si="81"/>
        <v>6421.6839845999993</v>
      </c>
      <c r="E853">
        <f t="shared" si="82"/>
        <v>0</v>
      </c>
      <c r="F853" s="2">
        <f t="shared" si="83"/>
        <v>0</v>
      </c>
      <c r="G853" s="2">
        <f t="shared" si="79"/>
        <v>9.366120490600979</v>
      </c>
      <c r="H853" s="2">
        <f t="shared" si="80"/>
        <v>23.074081946043187</v>
      </c>
    </row>
    <row r="854" spans="1:8" x14ac:dyDescent="0.3">
      <c r="A854" s="1">
        <v>43404</v>
      </c>
      <c r="B854">
        <v>6317.6098629999997</v>
      </c>
      <c r="C854" s="2">
        <f t="shared" si="78"/>
        <v>-2.6301621098243633E-3</v>
      </c>
      <c r="D854">
        <f t="shared" si="81"/>
        <v>6390.2559572</v>
      </c>
      <c r="E854">
        <f t="shared" si="82"/>
        <v>0</v>
      </c>
      <c r="F854" s="2">
        <f t="shared" si="83"/>
        <v>0</v>
      </c>
      <c r="G854" s="2">
        <f t="shared" si="79"/>
        <v>9.3414860753705504</v>
      </c>
      <c r="H854" s="2">
        <f t="shared" si="80"/>
        <v>23.074081946043187</v>
      </c>
    </row>
    <row r="855" spans="1:8" x14ac:dyDescent="0.3">
      <c r="A855" s="1">
        <v>43405</v>
      </c>
      <c r="B855">
        <v>6377.7797849999997</v>
      </c>
      <c r="C855" s="2">
        <f t="shared" si="78"/>
        <v>9.5241591843766571E-3</v>
      </c>
      <c r="D855">
        <f t="shared" si="81"/>
        <v>6369.7359375999995</v>
      </c>
      <c r="E855">
        <f t="shared" si="82"/>
        <v>1</v>
      </c>
      <c r="F855" s="2">
        <f t="shared" si="83"/>
        <v>0</v>
      </c>
      <c r="G855" s="2">
        <f t="shared" si="79"/>
        <v>9.4304558757710168</v>
      </c>
      <c r="H855" s="2">
        <f t="shared" si="80"/>
        <v>23.074081946043187</v>
      </c>
    </row>
    <row r="856" spans="1:8" x14ac:dyDescent="0.3">
      <c r="A856" s="1">
        <v>43406</v>
      </c>
      <c r="B856">
        <v>6388.4399409999996</v>
      </c>
      <c r="C856" s="2">
        <f t="shared" si="78"/>
        <v>1.6714525053171947E-3</v>
      </c>
      <c r="D856">
        <f t="shared" si="81"/>
        <v>6350.1458984000001</v>
      </c>
      <c r="E856">
        <f t="shared" si="82"/>
        <v>1</v>
      </c>
      <c r="F856" s="2">
        <f t="shared" si="83"/>
        <v>1.6714525053171947E-3</v>
      </c>
      <c r="G856" s="2">
        <f t="shared" si="79"/>
        <v>9.4462184348708575</v>
      </c>
      <c r="H856" s="2">
        <f t="shared" si="80"/>
        <v>23.112649178119796</v>
      </c>
    </row>
    <row r="857" spans="1:8" x14ac:dyDescent="0.3">
      <c r="A857" s="1">
        <v>43407</v>
      </c>
      <c r="B857">
        <v>6361.2597660000001</v>
      </c>
      <c r="C857" s="2">
        <f t="shared" si="78"/>
        <v>-4.2545872311581245E-3</v>
      </c>
      <c r="D857">
        <f t="shared" si="81"/>
        <v>6355.8718749999998</v>
      </c>
      <c r="E857">
        <f t="shared" si="82"/>
        <v>1</v>
      </c>
      <c r="F857" s="2">
        <f t="shared" si="83"/>
        <v>-4.2545872311581245E-3</v>
      </c>
      <c r="G857" s="2">
        <f t="shared" si="79"/>
        <v>9.4060286745351256</v>
      </c>
      <c r="H857" s="2">
        <f t="shared" si="80"/>
        <v>23.014314396048331</v>
      </c>
    </row>
    <row r="858" spans="1:8" x14ac:dyDescent="0.3">
      <c r="A858" s="1">
        <v>43408</v>
      </c>
      <c r="B858">
        <v>6376.1298829999996</v>
      </c>
      <c r="C858" s="2">
        <f t="shared" si="78"/>
        <v>2.3376056861375005E-3</v>
      </c>
      <c r="D858">
        <f t="shared" si="81"/>
        <v>6364.2438475999998</v>
      </c>
      <c r="E858">
        <f t="shared" si="82"/>
        <v>1</v>
      </c>
      <c r="F858" s="2">
        <f t="shared" si="83"/>
        <v>2.3376056861375005E-3</v>
      </c>
      <c r="G858" s="2">
        <f t="shared" si="79"/>
        <v>9.4280162606486915</v>
      </c>
      <c r="H858" s="2">
        <f t="shared" si="80"/>
        <v>23.068112788243088</v>
      </c>
    </row>
    <row r="859" spans="1:8" x14ac:dyDescent="0.3">
      <c r="A859" s="1">
        <v>43409</v>
      </c>
      <c r="B859">
        <v>6419.6601559999999</v>
      </c>
      <c r="C859" s="2">
        <f t="shared" si="78"/>
        <v>6.8270681116551213E-3</v>
      </c>
      <c r="D859">
        <f t="shared" si="81"/>
        <v>6384.6539061999993</v>
      </c>
      <c r="E859">
        <f t="shared" si="82"/>
        <v>1</v>
      </c>
      <c r="F859" s="2">
        <f t="shared" si="83"/>
        <v>6.8270681116551213E-3</v>
      </c>
      <c r="G859" s="2">
        <f t="shared" si="79"/>
        <v>9.4923819698179326</v>
      </c>
      <c r="H859" s="2">
        <f t="shared" si="80"/>
        <v>23.225600365455765</v>
      </c>
    </row>
    <row r="860" spans="1:8" x14ac:dyDescent="0.3">
      <c r="A860" s="1">
        <v>43410</v>
      </c>
      <c r="B860">
        <v>6461.0097660000001</v>
      </c>
      <c r="C860" s="2">
        <f t="shared" si="78"/>
        <v>6.4410901815967758E-3</v>
      </c>
      <c r="D860">
        <f t="shared" si="81"/>
        <v>6401.2999024000001</v>
      </c>
      <c r="E860">
        <f t="shared" si="82"/>
        <v>1</v>
      </c>
      <c r="F860" s="2">
        <f t="shared" si="83"/>
        <v>6.4410901815967758E-3</v>
      </c>
      <c r="G860" s="2">
        <f t="shared" si="79"/>
        <v>9.5535232581236933</v>
      </c>
      <c r="H860" s="2">
        <f t="shared" si="80"/>
        <v>23.375198551931394</v>
      </c>
    </row>
    <row r="861" spans="1:8" x14ac:dyDescent="0.3">
      <c r="A861" s="1">
        <v>43411</v>
      </c>
      <c r="B861">
        <v>6530.1401370000003</v>
      </c>
      <c r="C861" s="2">
        <f t="shared" si="78"/>
        <v>1.0699623356675181E-2</v>
      </c>
      <c r="D861">
        <f t="shared" si="81"/>
        <v>6429.6399416000004</v>
      </c>
      <c r="E861">
        <f t="shared" si="82"/>
        <v>1</v>
      </c>
      <c r="F861" s="2">
        <f t="shared" si="83"/>
        <v>1.0699623356675181E-2</v>
      </c>
      <c r="G861" s="2">
        <f t="shared" si="79"/>
        <v>9.6557423587148534</v>
      </c>
      <c r="H861" s="2">
        <f t="shared" si="80"/>
        <v>23.62530437232456</v>
      </c>
    </row>
    <row r="862" spans="1:8" x14ac:dyDescent="0.3">
      <c r="A862" s="1">
        <v>43412</v>
      </c>
      <c r="B862">
        <v>6453.7202150000003</v>
      </c>
      <c r="C862" s="2">
        <f t="shared" si="78"/>
        <v>-1.1702646558379715E-2</v>
      </c>
      <c r="D862">
        <f t="shared" si="81"/>
        <v>6448.1320313999995</v>
      </c>
      <c r="E862">
        <f t="shared" si="82"/>
        <v>1</v>
      </c>
      <c r="F862" s="2">
        <f t="shared" si="83"/>
        <v>-1.1702646558379715E-2</v>
      </c>
      <c r="G862" s="2">
        <f t="shared" si="79"/>
        <v>9.542744618632037</v>
      </c>
      <c r="H862" s="2">
        <f t="shared" si="80"/>
        <v>23.348825785421102</v>
      </c>
    </row>
    <row r="863" spans="1:8" x14ac:dyDescent="0.3">
      <c r="A863" s="1">
        <v>43413</v>
      </c>
      <c r="B863">
        <v>6385.6201170000004</v>
      </c>
      <c r="C863" s="2">
        <f t="shared" si="78"/>
        <v>-1.0552068532769465E-2</v>
      </c>
      <c r="D863">
        <f t="shared" si="81"/>
        <v>6450.0300782000004</v>
      </c>
      <c r="E863">
        <f t="shared" si="82"/>
        <v>0</v>
      </c>
      <c r="F863" s="2">
        <f t="shared" si="83"/>
        <v>-1.0552068532769465E-2</v>
      </c>
      <c r="G863" s="2">
        <f t="shared" si="79"/>
        <v>9.4420489234255154</v>
      </c>
      <c r="H863" s="2">
        <f t="shared" si="80"/>
        <v>23.102447375573643</v>
      </c>
    </row>
    <row r="864" spans="1:8" x14ac:dyDescent="0.3">
      <c r="A864" s="1">
        <v>43414</v>
      </c>
      <c r="B864">
        <v>6409.2202150000003</v>
      </c>
      <c r="C864" s="2">
        <f t="shared" si="78"/>
        <v>3.6958192889005037E-3</v>
      </c>
      <c r="D864">
        <f t="shared" si="81"/>
        <v>6447.9420900000014</v>
      </c>
      <c r="E864">
        <f t="shared" si="82"/>
        <v>0</v>
      </c>
      <c r="F864" s="2">
        <f t="shared" si="83"/>
        <v>0</v>
      </c>
      <c r="G864" s="2">
        <f t="shared" si="79"/>
        <v>9.4769450299634528</v>
      </c>
      <c r="H864" s="2">
        <f t="shared" si="80"/>
        <v>23.102447375573643</v>
      </c>
    </row>
    <row r="865" spans="1:8" x14ac:dyDescent="0.3">
      <c r="A865" s="1">
        <v>43415</v>
      </c>
      <c r="B865">
        <v>6411.2700199999999</v>
      </c>
      <c r="C865" s="2">
        <f t="shared" si="78"/>
        <v>3.1982127797736126E-4</v>
      </c>
      <c r="D865">
        <f t="shared" si="81"/>
        <v>6437.9941408000004</v>
      </c>
      <c r="E865">
        <f t="shared" si="82"/>
        <v>0</v>
      </c>
      <c r="F865" s="2">
        <f t="shared" si="83"/>
        <v>0</v>
      </c>
      <c r="G865" s="2">
        <f t="shared" si="79"/>
        <v>9.479975958634256</v>
      </c>
      <c r="H865" s="2">
        <f t="shared" si="80"/>
        <v>23.102447375573643</v>
      </c>
    </row>
    <row r="866" spans="1:8" x14ac:dyDescent="0.3">
      <c r="A866" s="1">
        <v>43416</v>
      </c>
      <c r="B866">
        <v>6371.2700199999999</v>
      </c>
      <c r="C866" s="2">
        <f t="shared" si="78"/>
        <v>-6.2390134677247078E-3</v>
      </c>
      <c r="D866">
        <f t="shared" si="81"/>
        <v>6406.2201174000002</v>
      </c>
      <c r="E866">
        <f t="shared" si="82"/>
        <v>0</v>
      </c>
      <c r="F866" s="2">
        <f t="shared" si="83"/>
        <v>0</v>
      </c>
      <c r="G866" s="2">
        <f t="shared" si="79"/>
        <v>9.4208302609546308</v>
      </c>
      <c r="H866" s="2">
        <f t="shared" si="80"/>
        <v>23.102447375573643</v>
      </c>
    </row>
    <row r="867" spans="1:8" x14ac:dyDescent="0.3">
      <c r="A867" s="1">
        <v>43417</v>
      </c>
      <c r="B867">
        <v>6359.4902339999999</v>
      </c>
      <c r="C867" s="2">
        <f t="shared" si="78"/>
        <v>-1.8488913455280143E-3</v>
      </c>
      <c r="D867">
        <f t="shared" si="81"/>
        <v>6387.3741212000004</v>
      </c>
      <c r="E867">
        <f t="shared" si="82"/>
        <v>0</v>
      </c>
      <c r="F867" s="2">
        <f t="shared" si="83"/>
        <v>0</v>
      </c>
      <c r="G867" s="2">
        <f t="shared" si="79"/>
        <v>9.4034121694174626</v>
      </c>
      <c r="H867" s="2">
        <f t="shared" si="80"/>
        <v>23.102447375573643</v>
      </c>
    </row>
    <row r="868" spans="1:8" x14ac:dyDescent="0.3">
      <c r="A868" s="1">
        <v>43418</v>
      </c>
      <c r="B868">
        <v>5738.3500979999999</v>
      </c>
      <c r="C868" s="2">
        <f t="shared" si="78"/>
        <v>-9.7671371940973084E-2</v>
      </c>
      <c r="D868">
        <f t="shared" si="81"/>
        <v>6257.9201174</v>
      </c>
      <c r="E868">
        <f t="shared" si="82"/>
        <v>0</v>
      </c>
      <c r="F868" s="2">
        <f t="shared" si="83"/>
        <v>0</v>
      </c>
      <c r="G868" s="2">
        <f t="shared" si="79"/>
        <v>8.4849680019040168</v>
      </c>
      <c r="H868" s="2">
        <f t="shared" si="80"/>
        <v>23.102447375573643</v>
      </c>
    </row>
    <row r="869" spans="1:8" x14ac:dyDescent="0.3">
      <c r="A869" s="1">
        <v>43419</v>
      </c>
      <c r="B869">
        <v>5648.0297849999997</v>
      </c>
      <c r="C869" s="2">
        <f t="shared" si="78"/>
        <v>-1.5739770396978714E-2</v>
      </c>
      <c r="D869">
        <f t="shared" si="81"/>
        <v>6105.6820313999997</v>
      </c>
      <c r="E869">
        <f t="shared" si="82"/>
        <v>0</v>
      </c>
      <c r="F869" s="2">
        <f t="shared" si="83"/>
        <v>0</v>
      </c>
      <c r="G869" s="2">
        <f t="shared" si="79"/>
        <v>8.3514165537283365</v>
      </c>
      <c r="H869" s="2">
        <f t="shared" si="80"/>
        <v>23.102447375573643</v>
      </c>
    </row>
    <row r="870" spans="1:8" x14ac:dyDescent="0.3">
      <c r="A870" s="1">
        <v>43420</v>
      </c>
      <c r="B870">
        <v>5575.5498049999997</v>
      </c>
      <c r="C870" s="2">
        <f t="shared" si="78"/>
        <v>-1.2832789974389303E-2</v>
      </c>
      <c r="D870">
        <f t="shared" si="81"/>
        <v>5938.5379883999994</v>
      </c>
      <c r="E870">
        <f t="shared" si="82"/>
        <v>0</v>
      </c>
      <c r="F870" s="2">
        <f t="shared" si="83"/>
        <v>0</v>
      </c>
      <c r="G870" s="2">
        <f t="shared" si="79"/>
        <v>8.2442445791057022</v>
      </c>
      <c r="H870" s="2">
        <f t="shared" si="80"/>
        <v>23.102447375573643</v>
      </c>
    </row>
    <row r="871" spans="1:8" x14ac:dyDescent="0.3">
      <c r="A871" s="1">
        <v>43421</v>
      </c>
      <c r="B871">
        <v>5554.330078</v>
      </c>
      <c r="C871" s="2">
        <f t="shared" si="78"/>
        <v>-3.8058537260254877E-3</v>
      </c>
      <c r="D871">
        <f t="shared" si="81"/>
        <v>5775.15</v>
      </c>
      <c r="E871">
        <f t="shared" si="82"/>
        <v>0</v>
      </c>
      <c r="F871" s="2">
        <f t="shared" si="83"/>
        <v>0</v>
      </c>
      <c r="G871" s="2">
        <f t="shared" si="79"/>
        <v>8.2128681901560476</v>
      </c>
      <c r="H871" s="2">
        <f t="shared" si="80"/>
        <v>23.102447375573643</v>
      </c>
    </row>
    <row r="872" spans="1:8" x14ac:dyDescent="0.3">
      <c r="A872" s="1">
        <v>43422</v>
      </c>
      <c r="B872">
        <v>5623.5400390000004</v>
      </c>
      <c r="C872" s="2">
        <f t="shared" si="78"/>
        <v>1.2460541600531228E-2</v>
      </c>
      <c r="D872">
        <f t="shared" si="81"/>
        <v>5627.9599609999996</v>
      </c>
      <c r="E872">
        <f t="shared" si="82"/>
        <v>0</v>
      </c>
      <c r="F872" s="2">
        <f t="shared" si="83"/>
        <v>0</v>
      </c>
      <c r="G872" s="2">
        <f t="shared" si="79"/>
        <v>8.3152049758991673</v>
      </c>
      <c r="H872" s="2">
        <f t="shared" si="80"/>
        <v>23.102447375573643</v>
      </c>
    </row>
    <row r="873" spans="1:8" x14ac:dyDescent="0.3">
      <c r="A873" s="1">
        <v>43423</v>
      </c>
      <c r="B873">
        <v>4871.4902339999999</v>
      </c>
      <c r="C873" s="2">
        <f t="shared" si="78"/>
        <v>-0.13373245318508176</v>
      </c>
      <c r="D873">
        <f t="shared" si="81"/>
        <v>5454.5879881999999</v>
      </c>
      <c r="E873">
        <f t="shared" si="82"/>
        <v>0</v>
      </c>
      <c r="F873" s="2">
        <f t="shared" si="83"/>
        <v>0</v>
      </c>
      <c r="G873" s="2">
        <f t="shared" si="79"/>
        <v>7.2031922157353732</v>
      </c>
      <c r="H873" s="2">
        <f t="shared" si="80"/>
        <v>23.102447375573643</v>
      </c>
    </row>
    <row r="874" spans="1:8" x14ac:dyDescent="0.3">
      <c r="A874" s="1">
        <v>43424</v>
      </c>
      <c r="B874">
        <v>4451.8701170000004</v>
      </c>
      <c r="C874" s="2">
        <f t="shared" si="78"/>
        <v>-8.6137936615639621E-2</v>
      </c>
      <c r="D874">
        <f t="shared" si="81"/>
        <v>5215.3560546000008</v>
      </c>
      <c r="E874">
        <f t="shared" si="82"/>
        <v>0</v>
      </c>
      <c r="F874" s="2">
        <f t="shared" si="83"/>
        <v>0</v>
      </c>
      <c r="G874" s="2">
        <f t="shared" si="79"/>
        <v>6.5827241012260913</v>
      </c>
      <c r="H874" s="2">
        <f t="shared" si="80"/>
        <v>23.102447375573643</v>
      </c>
    </row>
    <row r="875" spans="1:8" x14ac:dyDescent="0.3">
      <c r="A875" s="1">
        <v>43425</v>
      </c>
      <c r="B875">
        <v>4602.169922</v>
      </c>
      <c r="C875" s="2">
        <f t="shared" si="78"/>
        <v>3.3761048963684148E-2</v>
      </c>
      <c r="D875">
        <f t="shared" si="81"/>
        <v>5020.6800780000003</v>
      </c>
      <c r="E875">
        <f t="shared" si="82"/>
        <v>0</v>
      </c>
      <c r="F875" s="2">
        <f t="shared" si="83"/>
        <v>0</v>
      </c>
      <c r="G875" s="2">
        <f t="shared" si="79"/>
        <v>6.8049637719220089</v>
      </c>
      <c r="H875" s="2">
        <f t="shared" si="80"/>
        <v>23.102447375573643</v>
      </c>
    </row>
    <row r="876" spans="1:8" x14ac:dyDescent="0.3">
      <c r="A876" s="1">
        <v>43426</v>
      </c>
      <c r="B876">
        <v>4365.9399409999996</v>
      </c>
      <c r="C876" s="2">
        <f t="shared" si="78"/>
        <v>-5.1330130135077701E-2</v>
      </c>
      <c r="D876">
        <f t="shared" si="81"/>
        <v>4783.0020506000001</v>
      </c>
      <c r="E876">
        <f t="shared" si="82"/>
        <v>0</v>
      </c>
      <c r="F876" s="2">
        <f t="shared" si="83"/>
        <v>0</v>
      </c>
      <c r="G876" s="2">
        <f t="shared" si="79"/>
        <v>6.4556640959447629</v>
      </c>
      <c r="H876" s="2">
        <f t="shared" si="80"/>
        <v>23.102447375573643</v>
      </c>
    </row>
    <row r="877" spans="1:8" x14ac:dyDescent="0.3">
      <c r="A877" s="1">
        <v>43427</v>
      </c>
      <c r="B877">
        <v>4347.1098629999997</v>
      </c>
      <c r="C877" s="2">
        <f t="shared" si="78"/>
        <v>-4.3129493887831272E-3</v>
      </c>
      <c r="D877">
        <f t="shared" si="81"/>
        <v>4527.7160153999994</v>
      </c>
      <c r="E877">
        <f t="shared" si="82"/>
        <v>0</v>
      </c>
      <c r="F877" s="2">
        <f t="shared" si="83"/>
        <v>0</v>
      </c>
      <c r="G877" s="2">
        <f t="shared" si="79"/>
        <v>6.4278211434279688</v>
      </c>
      <c r="H877" s="2">
        <f t="shared" si="80"/>
        <v>23.102447375573643</v>
      </c>
    </row>
    <row r="878" spans="1:8" x14ac:dyDescent="0.3">
      <c r="A878" s="1">
        <v>43428</v>
      </c>
      <c r="B878">
        <v>3880.76001</v>
      </c>
      <c r="C878" s="2">
        <f t="shared" si="78"/>
        <v>-0.10727813827970878</v>
      </c>
      <c r="D878">
        <f t="shared" si="81"/>
        <v>4329.5699705999996</v>
      </c>
      <c r="E878">
        <f t="shared" si="82"/>
        <v>0</v>
      </c>
      <c r="F878" s="2">
        <f t="shared" si="83"/>
        <v>0</v>
      </c>
      <c r="G878" s="2">
        <f t="shared" si="79"/>
        <v>5.7382564579660675</v>
      </c>
      <c r="H878" s="2">
        <f t="shared" si="80"/>
        <v>23.102447375573643</v>
      </c>
    </row>
    <row r="879" spans="1:8" x14ac:dyDescent="0.3">
      <c r="A879" s="1">
        <v>43429</v>
      </c>
      <c r="B879">
        <v>4009.969971</v>
      </c>
      <c r="C879" s="2">
        <f t="shared" si="78"/>
        <v>3.3295014550513313E-2</v>
      </c>
      <c r="D879">
        <f t="shared" si="81"/>
        <v>4241.1899414</v>
      </c>
      <c r="E879">
        <f t="shared" si="82"/>
        <v>0</v>
      </c>
      <c r="F879" s="2">
        <f t="shared" si="83"/>
        <v>0</v>
      </c>
      <c r="G879" s="2">
        <f t="shared" si="79"/>
        <v>5.929311790228625</v>
      </c>
      <c r="H879" s="2">
        <f t="shared" si="80"/>
        <v>23.102447375573643</v>
      </c>
    </row>
    <row r="880" spans="1:8" x14ac:dyDescent="0.3">
      <c r="A880" s="1">
        <v>43430</v>
      </c>
      <c r="B880">
        <v>3779.1298830000001</v>
      </c>
      <c r="C880" s="2">
        <f t="shared" si="78"/>
        <v>-5.7566537821836405E-2</v>
      </c>
      <c r="D880">
        <f t="shared" si="81"/>
        <v>4076.5819336</v>
      </c>
      <c r="E880">
        <f t="shared" si="82"/>
        <v>0</v>
      </c>
      <c r="F880" s="2">
        <f t="shared" si="83"/>
        <v>0</v>
      </c>
      <c r="G880" s="2">
        <f t="shared" si="79"/>
        <v>5.5879818387989681</v>
      </c>
      <c r="H880" s="2">
        <f t="shared" si="80"/>
        <v>23.102447375573643</v>
      </c>
    </row>
    <row r="881" spans="1:8" x14ac:dyDescent="0.3">
      <c r="A881" s="1">
        <v>43431</v>
      </c>
      <c r="B881">
        <v>3820.719971</v>
      </c>
      <c r="C881" s="2">
        <f t="shared" si="78"/>
        <v>1.1005202067038811E-2</v>
      </c>
      <c r="D881">
        <f t="shared" si="81"/>
        <v>3967.5379395999998</v>
      </c>
      <c r="E881">
        <f t="shared" si="82"/>
        <v>0</v>
      </c>
      <c r="F881" s="2">
        <f t="shared" si="83"/>
        <v>0</v>
      </c>
      <c r="G881" s="2">
        <f t="shared" si="79"/>
        <v>5.6494787080818938</v>
      </c>
      <c r="H881" s="2">
        <f t="shared" si="80"/>
        <v>23.102447375573643</v>
      </c>
    </row>
    <row r="882" spans="1:8" x14ac:dyDescent="0.3">
      <c r="A882" s="1">
        <v>43432</v>
      </c>
      <c r="B882">
        <v>4257.419922</v>
      </c>
      <c r="C882" s="2">
        <f t="shared" si="78"/>
        <v>0.11429781672423966</v>
      </c>
      <c r="D882">
        <f t="shared" si="81"/>
        <v>3949.5999514000005</v>
      </c>
      <c r="E882">
        <f t="shared" si="82"/>
        <v>1</v>
      </c>
      <c r="F882" s="2">
        <f t="shared" si="83"/>
        <v>0</v>
      </c>
      <c r="G882" s="2">
        <f t="shared" si="79"/>
        <v>6.2952017900457324</v>
      </c>
      <c r="H882" s="2">
        <f t="shared" si="80"/>
        <v>23.102447375573643</v>
      </c>
    </row>
    <row r="883" spans="1:8" x14ac:dyDescent="0.3">
      <c r="A883" s="1">
        <v>43433</v>
      </c>
      <c r="B883">
        <v>4278.8466799999997</v>
      </c>
      <c r="C883" s="2">
        <f t="shared" si="78"/>
        <v>5.0328035271498539E-3</v>
      </c>
      <c r="D883">
        <f t="shared" si="81"/>
        <v>4029.2172853999996</v>
      </c>
      <c r="E883">
        <f t="shared" si="82"/>
        <v>1</v>
      </c>
      <c r="F883" s="2">
        <f t="shared" si="83"/>
        <v>5.0328035271498539E-3</v>
      </c>
      <c r="G883" s="2">
        <f t="shared" si="79"/>
        <v>6.3268843038187947</v>
      </c>
      <c r="H883" s="2">
        <f t="shared" si="80"/>
        <v>23.218717454211223</v>
      </c>
    </row>
    <row r="884" spans="1:8" x14ac:dyDescent="0.3">
      <c r="A884" s="1">
        <v>43434</v>
      </c>
      <c r="B884">
        <v>4017.2685550000001</v>
      </c>
      <c r="C884" s="2">
        <f t="shared" si="78"/>
        <v>-6.1132857651258421E-2</v>
      </c>
      <c r="D884">
        <f t="shared" si="81"/>
        <v>4030.6770021999996</v>
      </c>
      <c r="E884">
        <f t="shared" si="82"/>
        <v>0</v>
      </c>
      <c r="F884" s="2">
        <f t="shared" si="83"/>
        <v>-6.1132857651258421E-2</v>
      </c>
      <c r="G884" s="2">
        <f t="shared" si="79"/>
        <v>5.9401037862974588</v>
      </c>
      <c r="H884" s="2">
        <f t="shared" si="80"/>
        <v>21.799290905238138</v>
      </c>
    </row>
    <row r="885" spans="1:8" x14ac:dyDescent="0.3">
      <c r="A885" s="1">
        <v>43435</v>
      </c>
      <c r="B885">
        <v>4214.671875</v>
      </c>
      <c r="C885" s="2">
        <f t="shared" si="78"/>
        <v>4.9138691451012573E-2</v>
      </c>
      <c r="D885">
        <f t="shared" si="81"/>
        <v>4117.7854005999998</v>
      </c>
      <c r="E885">
        <f t="shared" si="82"/>
        <v>1</v>
      </c>
      <c r="F885" s="2">
        <f t="shared" si="83"/>
        <v>0</v>
      </c>
      <c r="G885" s="2">
        <f t="shared" si="79"/>
        <v>6.2319927134393209</v>
      </c>
      <c r="H885" s="2">
        <f t="shared" si="80"/>
        <v>21.799290905238138</v>
      </c>
    </row>
    <row r="886" spans="1:8" x14ac:dyDescent="0.3">
      <c r="A886" s="1">
        <v>43436</v>
      </c>
      <c r="B886">
        <v>4139.8779299999997</v>
      </c>
      <c r="C886" s="2">
        <f t="shared" si="78"/>
        <v>-1.7746089664453457E-2</v>
      </c>
      <c r="D886">
        <f t="shared" si="81"/>
        <v>4181.6169923999996</v>
      </c>
      <c r="E886">
        <f t="shared" si="82"/>
        <v>0</v>
      </c>
      <c r="F886" s="2">
        <f t="shared" si="83"/>
        <v>-1.7746089664453457E-2</v>
      </c>
      <c r="G886" s="2">
        <f t="shared" si="79"/>
        <v>6.1213992119584058</v>
      </c>
      <c r="H886" s="2">
        <f t="shared" si="80"/>
        <v>21.412438734212277</v>
      </c>
    </row>
    <row r="887" spans="1:8" x14ac:dyDescent="0.3">
      <c r="A887" s="1">
        <v>43437</v>
      </c>
      <c r="B887">
        <v>3894.1308589999999</v>
      </c>
      <c r="C887" s="2">
        <f t="shared" si="78"/>
        <v>-5.9360946181328589E-2</v>
      </c>
      <c r="D887">
        <f t="shared" si="81"/>
        <v>4108.9591798000001</v>
      </c>
      <c r="E887">
        <f t="shared" si="82"/>
        <v>0</v>
      </c>
      <c r="F887" s="2">
        <f t="shared" si="83"/>
        <v>0</v>
      </c>
      <c r="G887" s="2">
        <f t="shared" si="79"/>
        <v>5.7580271627829154</v>
      </c>
      <c r="H887" s="2">
        <f t="shared" si="80"/>
        <v>21.412438734212277</v>
      </c>
    </row>
    <row r="888" spans="1:8" x14ac:dyDescent="0.3">
      <c r="A888" s="1">
        <v>43438</v>
      </c>
      <c r="B888">
        <v>3956.8937989999999</v>
      </c>
      <c r="C888" s="2">
        <f t="shared" si="78"/>
        <v>1.611731661634952E-2</v>
      </c>
      <c r="D888">
        <f t="shared" si="81"/>
        <v>4044.5686036000006</v>
      </c>
      <c r="E888">
        <f t="shared" si="82"/>
        <v>0</v>
      </c>
      <c r="F888" s="2">
        <f t="shared" si="83"/>
        <v>0</v>
      </c>
      <c r="G888" s="2">
        <f t="shared" si="79"/>
        <v>5.8508311096510282</v>
      </c>
      <c r="H888" s="2">
        <f t="shared" si="80"/>
        <v>21.412438734212277</v>
      </c>
    </row>
    <row r="889" spans="1:8" x14ac:dyDescent="0.3">
      <c r="A889" s="1">
        <v>43439</v>
      </c>
      <c r="B889">
        <v>3753.9948730000001</v>
      </c>
      <c r="C889" s="2">
        <f t="shared" si="78"/>
        <v>-5.1277324160501125E-2</v>
      </c>
      <c r="D889">
        <f t="shared" si="81"/>
        <v>3991.9138671999999</v>
      </c>
      <c r="E889">
        <f t="shared" si="82"/>
        <v>0</v>
      </c>
      <c r="F889" s="2">
        <f t="shared" si="83"/>
        <v>0</v>
      </c>
      <c r="G889" s="2">
        <f t="shared" si="79"/>
        <v>5.5508161462331076</v>
      </c>
      <c r="H889" s="2">
        <f t="shared" si="80"/>
        <v>21.412438734212277</v>
      </c>
    </row>
    <row r="890" spans="1:8" x14ac:dyDescent="0.3">
      <c r="A890" s="1">
        <v>43440</v>
      </c>
      <c r="B890">
        <v>3521.101807</v>
      </c>
      <c r="C890" s="2">
        <f t="shared" si="78"/>
        <v>-6.2038727776387192E-2</v>
      </c>
      <c r="D890">
        <f t="shared" si="81"/>
        <v>3853.1998536000001</v>
      </c>
      <c r="E890">
        <f t="shared" si="82"/>
        <v>0</v>
      </c>
      <c r="F890" s="2">
        <f t="shared" si="83"/>
        <v>0</v>
      </c>
      <c r="G890" s="2">
        <f t="shared" si="79"/>
        <v>5.2064505744001774</v>
      </c>
      <c r="H890" s="2">
        <f t="shared" si="80"/>
        <v>21.412438734212277</v>
      </c>
    </row>
    <row r="891" spans="1:8" x14ac:dyDescent="0.3">
      <c r="A891" s="1">
        <v>43441</v>
      </c>
      <c r="B891">
        <v>3419.9372560000002</v>
      </c>
      <c r="C891" s="2">
        <f t="shared" si="78"/>
        <v>-2.8730936094742643E-2</v>
      </c>
      <c r="D891">
        <f t="shared" si="81"/>
        <v>3709.2117188000002</v>
      </c>
      <c r="E891">
        <f t="shared" si="82"/>
        <v>0</v>
      </c>
      <c r="F891" s="2">
        <f t="shared" si="83"/>
        <v>0</v>
      </c>
      <c r="G891" s="2">
        <f t="shared" si="79"/>
        <v>5.0568643756666498</v>
      </c>
      <c r="H891" s="2">
        <f t="shared" si="80"/>
        <v>21.412438734212277</v>
      </c>
    </row>
    <row r="892" spans="1:8" x14ac:dyDescent="0.3">
      <c r="A892" s="1">
        <v>43442</v>
      </c>
      <c r="B892">
        <v>3476.1147460000002</v>
      </c>
      <c r="C892" s="2">
        <f t="shared" si="78"/>
        <v>1.642646802991532E-2</v>
      </c>
      <c r="D892">
        <f t="shared" si="81"/>
        <v>3625.6084962</v>
      </c>
      <c r="E892">
        <f t="shared" si="82"/>
        <v>0</v>
      </c>
      <c r="F892" s="2">
        <f t="shared" si="83"/>
        <v>0</v>
      </c>
      <c r="G892" s="2">
        <f t="shared" si="79"/>
        <v>5.1399307966651557</v>
      </c>
      <c r="H892" s="2">
        <f t="shared" si="80"/>
        <v>21.412438734212277</v>
      </c>
    </row>
    <row r="893" spans="1:8" x14ac:dyDescent="0.3">
      <c r="A893" s="1">
        <v>43443</v>
      </c>
      <c r="B893">
        <v>3614.234375</v>
      </c>
      <c r="C893" s="2">
        <f t="shared" si="78"/>
        <v>3.973390957790901E-2</v>
      </c>
      <c r="D893">
        <f t="shared" si="81"/>
        <v>3557.0766113999998</v>
      </c>
      <c r="E893">
        <f t="shared" si="82"/>
        <v>1</v>
      </c>
      <c r="F893" s="2">
        <f t="shared" si="83"/>
        <v>0</v>
      </c>
      <c r="G893" s="2">
        <f t="shared" si="79"/>
        <v>5.3441603421765587</v>
      </c>
      <c r="H893" s="2">
        <f t="shared" si="80"/>
        <v>21.412438734212277</v>
      </c>
    </row>
    <row r="894" spans="1:8" x14ac:dyDescent="0.3">
      <c r="A894" s="1">
        <v>43444</v>
      </c>
      <c r="B894">
        <v>3502.6560060000002</v>
      </c>
      <c r="C894" s="2">
        <f t="shared" si="78"/>
        <v>-3.0871924015719032E-2</v>
      </c>
      <c r="D894">
        <f t="shared" si="81"/>
        <v>3506.8088379999999</v>
      </c>
      <c r="E894">
        <f t="shared" si="82"/>
        <v>0</v>
      </c>
      <c r="F894" s="2">
        <f t="shared" si="83"/>
        <v>-3.0871924015719032E-2</v>
      </c>
      <c r="G894" s="2">
        <f t="shared" si="79"/>
        <v>5.1791758301650646</v>
      </c>
      <c r="H894" s="2">
        <f t="shared" si="80"/>
        <v>20.751395552618437</v>
      </c>
    </row>
    <row r="895" spans="1:8" x14ac:dyDescent="0.3">
      <c r="A895" s="1">
        <v>43445</v>
      </c>
      <c r="B895">
        <v>3424.588135</v>
      </c>
      <c r="C895" s="2">
        <f t="shared" si="78"/>
        <v>-2.2288192407781682E-2</v>
      </c>
      <c r="D895">
        <f t="shared" si="81"/>
        <v>3487.5061035999997</v>
      </c>
      <c r="E895">
        <f t="shared" si="82"/>
        <v>0</v>
      </c>
      <c r="F895" s="2">
        <f t="shared" si="83"/>
        <v>0</v>
      </c>
      <c r="G895" s="2">
        <f t="shared" si="79"/>
        <v>5.0637413627486128</v>
      </c>
      <c r="H895" s="2">
        <f t="shared" si="80"/>
        <v>20.751395552618437</v>
      </c>
    </row>
    <row r="896" spans="1:8" x14ac:dyDescent="0.3">
      <c r="A896" s="1">
        <v>43446</v>
      </c>
      <c r="B896">
        <v>3486.9501949999999</v>
      </c>
      <c r="C896" s="2">
        <f t="shared" si="78"/>
        <v>1.8210090539836576E-2</v>
      </c>
      <c r="D896">
        <f t="shared" si="81"/>
        <v>3500.9086914</v>
      </c>
      <c r="E896">
        <f t="shared" si="82"/>
        <v>0</v>
      </c>
      <c r="F896" s="2">
        <f t="shared" si="83"/>
        <v>0</v>
      </c>
      <c r="G896" s="2">
        <f t="shared" si="79"/>
        <v>5.1559525514345808</v>
      </c>
      <c r="H896" s="2">
        <f t="shared" si="80"/>
        <v>20.751395552618437</v>
      </c>
    </row>
    <row r="897" spans="1:8" x14ac:dyDescent="0.3">
      <c r="A897" s="1">
        <v>43447</v>
      </c>
      <c r="B897">
        <v>3313.6772460000002</v>
      </c>
      <c r="C897" s="2">
        <f t="shared" si="78"/>
        <v>-4.9691833639740168E-2</v>
      </c>
      <c r="D897">
        <f t="shared" si="81"/>
        <v>3468.4211913999998</v>
      </c>
      <c r="E897">
        <f t="shared" si="82"/>
        <v>0</v>
      </c>
      <c r="F897" s="2">
        <f t="shared" si="83"/>
        <v>0</v>
      </c>
      <c r="G897" s="2">
        <f t="shared" si="79"/>
        <v>4.8997438149942996</v>
      </c>
      <c r="H897" s="2">
        <f t="shared" si="80"/>
        <v>20.751395552618437</v>
      </c>
    </row>
    <row r="898" spans="1:8" x14ac:dyDescent="0.3">
      <c r="A898" s="1">
        <v>43448</v>
      </c>
      <c r="B898">
        <v>3242.4848630000001</v>
      </c>
      <c r="C898" s="2">
        <f t="shared" si="78"/>
        <v>-2.148440470052948E-2</v>
      </c>
      <c r="D898">
        <f t="shared" si="81"/>
        <v>3394.0712890000004</v>
      </c>
      <c r="E898">
        <f t="shared" si="82"/>
        <v>0</v>
      </c>
      <c r="F898" s="2">
        <f t="shared" si="83"/>
        <v>0</v>
      </c>
      <c r="G898" s="2">
        <f t="shared" si="79"/>
        <v>4.7944757359440455</v>
      </c>
      <c r="H898" s="2">
        <f t="shared" si="80"/>
        <v>20.751395552618437</v>
      </c>
    </row>
    <row r="899" spans="1:8" x14ac:dyDescent="0.3">
      <c r="A899" s="1">
        <v>43449</v>
      </c>
      <c r="B899">
        <v>3236.7617190000001</v>
      </c>
      <c r="C899" s="2">
        <f t="shared" si="78"/>
        <v>-1.7650487949247839E-3</v>
      </c>
      <c r="D899">
        <f t="shared" si="81"/>
        <v>3340.8924315999998</v>
      </c>
      <c r="E899">
        <f t="shared" si="82"/>
        <v>0</v>
      </c>
      <c r="F899" s="2">
        <f t="shared" si="83"/>
        <v>0</v>
      </c>
      <c r="G899" s="2">
        <f t="shared" si="79"/>
        <v>4.7860132523240217</v>
      </c>
      <c r="H899" s="2">
        <f t="shared" si="80"/>
        <v>20.751395552618437</v>
      </c>
    </row>
    <row r="900" spans="1:8" x14ac:dyDescent="0.3">
      <c r="A900" s="1">
        <v>43450</v>
      </c>
      <c r="B900">
        <v>3252.8391109999998</v>
      </c>
      <c r="C900" s="2">
        <f t="shared" ref="C900:C963" si="84">B900/B899-1</f>
        <v>4.9671225118685935E-3</v>
      </c>
      <c r="D900">
        <f t="shared" si="81"/>
        <v>3306.5426268000001</v>
      </c>
      <c r="E900">
        <f t="shared" si="82"/>
        <v>0</v>
      </c>
      <c r="F900" s="2">
        <f t="shared" si="83"/>
        <v>0</v>
      </c>
      <c r="G900" s="2">
        <f t="shared" ref="G900:G963" si="85">(1+C900)*G899</f>
        <v>4.8097859664917415</v>
      </c>
      <c r="H900" s="2">
        <f t="shared" ref="H900:H963" si="86">(1+F900)*H899</f>
        <v>20.751395552618437</v>
      </c>
    </row>
    <row r="901" spans="1:8" x14ac:dyDescent="0.3">
      <c r="A901" s="1">
        <v>43451</v>
      </c>
      <c r="B901">
        <v>3545.8647460000002</v>
      </c>
      <c r="C901" s="2">
        <f t="shared" si="84"/>
        <v>9.0083039769500717E-2</v>
      </c>
      <c r="D901">
        <f t="shared" si="81"/>
        <v>3318.3255369999997</v>
      </c>
      <c r="E901">
        <f t="shared" si="82"/>
        <v>1</v>
      </c>
      <c r="F901" s="2">
        <f t="shared" si="83"/>
        <v>0</v>
      </c>
      <c r="G901" s="2">
        <f t="shared" si="85"/>
        <v>5.2430661069940037</v>
      </c>
      <c r="H901" s="2">
        <f t="shared" si="86"/>
        <v>20.751395552618437</v>
      </c>
    </row>
    <row r="902" spans="1:8" x14ac:dyDescent="0.3">
      <c r="A902" s="1">
        <v>43452</v>
      </c>
      <c r="B902">
        <v>3696.0590820000002</v>
      </c>
      <c r="C902" s="2">
        <f t="shared" si="84"/>
        <v>4.2357604352910139E-2</v>
      </c>
      <c r="D902">
        <f t="shared" si="81"/>
        <v>3394.8019042000001</v>
      </c>
      <c r="E902">
        <f t="shared" si="82"/>
        <v>1</v>
      </c>
      <c r="F902" s="2">
        <f t="shared" si="83"/>
        <v>4.2357604352910139E-2</v>
      </c>
      <c r="G902" s="2">
        <f t="shared" si="85"/>
        <v>5.4651498267502081</v>
      </c>
      <c r="H902" s="2">
        <f t="shared" si="86"/>
        <v>21.630374955206989</v>
      </c>
    </row>
    <row r="903" spans="1:8" x14ac:dyDescent="0.3">
      <c r="A903" s="1">
        <v>43453</v>
      </c>
      <c r="B903">
        <v>3745.9506839999999</v>
      </c>
      <c r="C903" s="2">
        <f t="shared" si="84"/>
        <v>1.349859428464617E-2</v>
      </c>
      <c r="D903">
        <f t="shared" ref="D903:D966" si="87">AVERAGE(B899:B903)</f>
        <v>3495.4950683999996</v>
      </c>
      <c r="E903">
        <f t="shared" ref="E903:E966" si="88">IF(B903&gt;D903,1,0)</f>
        <v>1</v>
      </c>
      <c r="F903" s="2">
        <f t="shared" si="83"/>
        <v>1.349859428464617E-2</v>
      </c>
      <c r="G903" s="2">
        <f t="shared" si="85"/>
        <v>5.5389216669663135</v>
      </c>
      <c r="H903" s="2">
        <f t="shared" si="86"/>
        <v>21.922354610952098</v>
      </c>
    </row>
    <row r="904" spans="1:8" x14ac:dyDescent="0.3">
      <c r="A904" s="1">
        <v>43454</v>
      </c>
      <c r="B904">
        <v>4134.4414059999999</v>
      </c>
      <c r="C904" s="2">
        <f t="shared" si="84"/>
        <v>0.10370951322433375</v>
      </c>
      <c r="D904">
        <f t="shared" si="87"/>
        <v>3675.0310058000005</v>
      </c>
      <c r="E904">
        <f t="shared" si="88"/>
        <v>1</v>
      </c>
      <c r="F904" s="2">
        <f t="shared" ref="F904:F967" si="89">E903*C904</f>
        <v>0.10370951322433375</v>
      </c>
      <c r="G904" s="2">
        <f t="shared" si="85"/>
        <v>6.1133605368351054</v>
      </c>
      <c r="H904" s="2">
        <f t="shared" si="86"/>
        <v>24.195911336385169</v>
      </c>
    </row>
    <row r="905" spans="1:8" x14ac:dyDescent="0.3">
      <c r="A905" s="1">
        <v>43455</v>
      </c>
      <c r="B905">
        <v>3896.5437010000001</v>
      </c>
      <c r="C905" s="2">
        <f t="shared" si="84"/>
        <v>-5.7540470800906074E-2</v>
      </c>
      <c r="D905">
        <f t="shared" si="87"/>
        <v>3803.7719238</v>
      </c>
      <c r="E905">
        <f t="shared" si="88"/>
        <v>1</v>
      </c>
      <c r="F905" s="2">
        <f t="shared" si="89"/>
        <v>-5.7540470800906074E-2</v>
      </c>
      <c r="G905" s="2">
        <f t="shared" si="85"/>
        <v>5.7615948933699332</v>
      </c>
      <c r="H905" s="2">
        <f t="shared" si="86"/>
        <v>22.803667206632586</v>
      </c>
    </row>
    <row r="906" spans="1:8" x14ac:dyDescent="0.3">
      <c r="A906" s="1">
        <v>43456</v>
      </c>
      <c r="B906">
        <v>4014.1826169999999</v>
      </c>
      <c r="C906" s="2">
        <f t="shared" si="84"/>
        <v>3.019058042896039E-2</v>
      </c>
      <c r="D906">
        <f t="shared" si="87"/>
        <v>3897.4354980000003</v>
      </c>
      <c r="E906">
        <f t="shared" si="88"/>
        <v>1</v>
      </c>
      <c r="F906" s="2">
        <f t="shared" si="89"/>
        <v>3.019058042896039E-2</v>
      </c>
      <c r="G906" s="2">
        <f t="shared" si="85"/>
        <v>5.9355407873973061</v>
      </c>
      <c r="H906" s="2">
        <f t="shared" si="86"/>
        <v>23.492123155509674</v>
      </c>
    </row>
    <row r="907" spans="1:8" x14ac:dyDescent="0.3">
      <c r="A907" s="1">
        <v>43457</v>
      </c>
      <c r="B907">
        <v>3998.9802249999998</v>
      </c>
      <c r="C907" s="2">
        <f t="shared" si="84"/>
        <v>-3.7871700045778445E-3</v>
      </c>
      <c r="D907">
        <f t="shared" si="87"/>
        <v>3958.0197266000005</v>
      </c>
      <c r="E907">
        <f t="shared" si="88"/>
        <v>1</v>
      </c>
      <c r="F907" s="2">
        <f t="shared" si="89"/>
        <v>-3.7871700045778445E-3</v>
      </c>
      <c r="G907" s="2">
        <f t="shared" si="85"/>
        <v>5.9130618853663268</v>
      </c>
      <c r="H907" s="2">
        <f t="shared" si="86"/>
        <v>23.40315449135128</v>
      </c>
    </row>
    <row r="908" spans="1:8" x14ac:dyDescent="0.3">
      <c r="A908" s="1">
        <v>43458</v>
      </c>
      <c r="B908">
        <v>4078.5991210000002</v>
      </c>
      <c r="C908" s="2">
        <f t="shared" si="84"/>
        <v>1.9909799879042955E-2</v>
      </c>
      <c r="D908">
        <f t="shared" si="87"/>
        <v>4024.5494140000001</v>
      </c>
      <c r="E908">
        <f t="shared" si="88"/>
        <v>1</v>
      </c>
      <c r="F908" s="2">
        <f t="shared" si="89"/>
        <v>1.9909799879042955E-2</v>
      </c>
      <c r="G908" s="2">
        <f t="shared" si="85"/>
        <v>6.030789764176367</v>
      </c>
      <c r="H908" s="2">
        <f t="shared" si="86"/>
        <v>23.869106613812409</v>
      </c>
    </row>
    <row r="909" spans="1:8" x14ac:dyDescent="0.3">
      <c r="A909" s="1">
        <v>43459</v>
      </c>
      <c r="B909">
        <v>3815.4907229999999</v>
      </c>
      <c r="C909" s="2">
        <f t="shared" si="84"/>
        <v>-6.4509501962401905E-2</v>
      </c>
      <c r="D909">
        <f t="shared" si="87"/>
        <v>3960.7592773999995</v>
      </c>
      <c r="E909">
        <f t="shared" si="88"/>
        <v>0</v>
      </c>
      <c r="F909" s="2">
        <f t="shared" si="89"/>
        <v>-6.4509501962401905E-2</v>
      </c>
      <c r="G909" s="2">
        <f t="shared" si="85"/>
        <v>5.6417465200493986</v>
      </c>
      <c r="H909" s="2">
        <f t="shared" si="86"/>
        <v>22.329322433867898</v>
      </c>
    </row>
    <row r="910" spans="1:8" x14ac:dyDescent="0.3">
      <c r="A910" s="1">
        <v>43460</v>
      </c>
      <c r="B910">
        <v>3857.297607</v>
      </c>
      <c r="C910" s="2">
        <f t="shared" si="84"/>
        <v>1.0957144712208544E-2</v>
      </c>
      <c r="D910">
        <f t="shared" si="87"/>
        <v>3952.9100586</v>
      </c>
      <c r="E910">
        <f t="shared" si="88"/>
        <v>0</v>
      </c>
      <c r="F910" s="2">
        <f t="shared" si="89"/>
        <v>0</v>
      </c>
      <c r="G910" s="2">
        <f t="shared" si="85"/>
        <v>5.7035639530991791</v>
      </c>
      <c r="H910" s="2">
        <f t="shared" si="86"/>
        <v>22.329322433867898</v>
      </c>
    </row>
    <row r="911" spans="1:8" x14ac:dyDescent="0.3">
      <c r="A911" s="1">
        <v>43461</v>
      </c>
      <c r="B911">
        <v>3654.8334960000002</v>
      </c>
      <c r="C911" s="2">
        <f t="shared" si="84"/>
        <v>-5.2488589584734013E-2</v>
      </c>
      <c r="D911">
        <f t="shared" si="87"/>
        <v>3881.0402344000004</v>
      </c>
      <c r="E911">
        <f t="shared" si="88"/>
        <v>0</v>
      </c>
      <c r="F911" s="2">
        <f t="shared" si="89"/>
        <v>0</v>
      </c>
      <c r="G911" s="2">
        <f t="shared" si="85"/>
        <v>5.4041919255946729</v>
      </c>
      <c r="H911" s="2">
        <f t="shared" si="86"/>
        <v>22.329322433867898</v>
      </c>
    </row>
    <row r="912" spans="1:8" x14ac:dyDescent="0.3">
      <c r="A912" s="1">
        <v>43462</v>
      </c>
      <c r="B912">
        <v>3923.9187010000001</v>
      </c>
      <c r="C912" s="2">
        <f t="shared" si="84"/>
        <v>7.3624477091636997E-2</v>
      </c>
      <c r="D912">
        <f t="shared" si="87"/>
        <v>3866.0279295999999</v>
      </c>
      <c r="E912">
        <f t="shared" si="88"/>
        <v>1</v>
      </c>
      <c r="F912" s="2">
        <f t="shared" si="89"/>
        <v>0</v>
      </c>
      <c r="G912" s="2">
        <f t="shared" si="85"/>
        <v>5.8020727302194279</v>
      </c>
      <c r="H912" s="2">
        <f t="shared" si="86"/>
        <v>22.329322433867898</v>
      </c>
    </row>
    <row r="913" spans="1:8" x14ac:dyDescent="0.3">
      <c r="A913" s="1">
        <v>43463</v>
      </c>
      <c r="B913">
        <v>3820.4086910000001</v>
      </c>
      <c r="C913" s="2">
        <f t="shared" si="84"/>
        <v>-2.6379244293114668E-2</v>
      </c>
      <c r="D913">
        <f t="shared" si="87"/>
        <v>3814.3898435999995</v>
      </c>
      <c r="E913">
        <f t="shared" si="88"/>
        <v>1</v>
      </c>
      <c r="F913" s="2">
        <f t="shared" si="89"/>
        <v>-2.6379244293114668E-2</v>
      </c>
      <c r="G913" s="2">
        <f t="shared" si="85"/>
        <v>5.6490184362625513</v>
      </c>
      <c r="H913" s="2">
        <f t="shared" si="86"/>
        <v>21.740291782485169</v>
      </c>
    </row>
    <row r="914" spans="1:8" x14ac:dyDescent="0.3">
      <c r="A914" s="1">
        <v>43464</v>
      </c>
      <c r="B914">
        <v>3865.9526369999999</v>
      </c>
      <c r="C914" s="2">
        <f t="shared" si="84"/>
        <v>1.1921223534877567E-2</v>
      </c>
      <c r="D914">
        <f t="shared" si="87"/>
        <v>3824.4822264000004</v>
      </c>
      <c r="E914">
        <f t="shared" si="88"/>
        <v>1</v>
      </c>
      <c r="F914" s="2">
        <f t="shared" si="89"/>
        <v>1.1921223534877567E-2</v>
      </c>
      <c r="G914" s="2">
        <f t="shared" si="85"/>
        <v>5.7163616477938817</v>
      </c>
      <c r="H914" s="2">
        <f t="shared" si="86"/>
        <v>21.999462660537638</v>
      </c>
    </row>
    <row r="915" spans="1:8" x14ac:dyDescent="0.3">
      <c r="A915" s="1">
        <v>43465</v>
      </c>
      <c r="B915">
        <v>3742.7004390000002</v>
      </c>
      <c r="C915" s="2">
        <f t="shared" si="84"/>
        <v>-3.1881455768595246E-2</v>
      </c>
      <c r="D915">
        <f t="shared" si="87"/>
        <v>3801.5627928000004</v>
      </c>
      <c r="E915">
        <f t="shared" si="88"/>
        <v>0</v>
      </c>
      <c r="F915" s="2">
        <f t="shared" si="89"/>
        <v>-3.1881455768595246E-2</v>
      </c>
      <c r="G915" s="2">
        <f t="shared" si="85"/>
        <v>5.5341157167624466</v>
      </c>
      <c r="H915" s="2">
        <f t="shared" si="86"/>
        <v>21.298087764792843</v>
      </c>
    </row>
    <row r="916" spans="1:8" x14ac:dyDescent="0.3">
      <c r="A916" s="1">
        <v>43466</v>
      </c>
      <c r="B916">
        <v>3843.5200199999999</v>
      </c>
      <c r="C916" s="2">
        <f t="shared" si="84"/>
        <v>2.6937657085624789E-2</v>
      </c>
      <c r="D916">
        <f t="shared" si="87"/>
        <v>3839.3000975999994</v>
      </c>
      <c r="E916">
        <f t="shared" si="88"/>
        <v>1</v>
      </c>
      <c r="F916" s="2">
        <f t="shared" si="89"/>
        <v>0</v>
      </c>
      <c r="G916" s="2">
        <f t="shared" si="85"/>
        <v>5.6831918282127605</v>
      </c>
      <c r="H916" s="2">
        <f t="shared" si="86"/>
        <v>21.298087764792843</v>
      </c>
    </row>
    <row r="917" spans="1:8" x14ac:dyDescent="0.3">
      <c r="A917" s="1">
        <v>43467</v>
      </c>
      <c r="B917">
        <v>3943.4094239999999</v>
      </c>
      <c r="C917" s="2">
        <f t="shared" si="84"/>
        <v>2.5989042200956103E-2</v>
      </c>
      <c r="D917">
        <f t="shared" si="87"/>
        <v>3843.1982422000001</v>
      </c>
      <c r="E917">
        <f t="shared" si="88"/>
        <v>1</v>
      </c>
      <c r="F917" s="2">
        <f t="shared" si="89"/>
        <v>2.5989042200956103E-2</v>
      </c>
      <c r="G917" s="2">
        <f t="shared" si="85"/>
        <v>5.8308925404723109</v>
      </c>
      <c r="H917" s="2">
        <f t="shared" si="86"/>
        <v>21.851604666511712</v>
      </c>
    </row>
    <row r="918" spans="1:8" x14ac:dyDescent="0.3">
      <c r="A918" s="1">
        <v>43468</v>
      </c>
      <c r="B918">
        <v>3836.741211</v>
      </c>
      <c r="C918" s="2">
        <f t="shared" si="84"/>
        <v>-2.7049743389769842E-2</v>
      </c>
      <c r="D918">
        <f t="shared" si="87"/>
        <v>3846.4647462000003</v>
      </c>
      <c r="E918">
        <f t="shared" si="88"/>
        <v>0</v>
      </c>
      <c r="F918" s="2">
        <f t="shared" si="89"/>
        <v>-2.7049743389769842E-2</v>
      </c>
      <c r="G918" s="2">
        <f t="shared" si="85"/>
        <v>5.6731683935192114</v>
      </c>
      <c r="H918" s="2">
        <f t="shared" si="86"/>
        <v>21.260524367627873</v>
      </c>
    </row>
    <row r="919" spans="1:8" x14ac:dyDescent="0.3">
      <c r="A919" s="1">
        <v>43469</v>
      </c>
      <c r="B919">
        <v>3857.717529</v>
      </c>
      <c r="C919" s="2">
        <f t="shared" si="84"/>
        <v>5.4672225324607915E-3</v>
      </c>
      <c r="D919">
        <f t="shared" si="87"/>
        <v>3844.8177246</v>
      </c>
      <c r="E919">
        <f t="shared" si="88"/>
        <v>1</v>
      </c>
      <c r="F919" s="2">
        <f t="shared" si="89"/>
        <v>0</v>
      </c>
      <c r="G919" s="2">
        <f t="shared" si="85"/>
        <v>5.7041848675907039</v>
      </c>
      <c r="H919" s="2">
        <f t="shared" si="86"/>
        <v>21.260524367627873</v>
      </c>
    </row>
    <row r="920" spans="1:8" x14ac:dyDescent="0.3">
      <c r="A920" s="1">
        <v>43470</v>
      </c>
      <c r="B920">
        <v>3845.1945799999999</v>
      </c>
      <c r="C920" s="2">
        <f t="shared" si="84"/>
        <v>-3.2462068323717563E-3</v>
      </c>
      <c r="D920">
        <f t="shared" si="87"/>
        <v>3865.3165528</v>
      </c>
      <c r="E920">
        <f t="shared" si="88"/>
        <v>0</v>
      </c>
      <c r="F920" s="2">
        <f t="shared" si="89"/>
        <v>-3.2462068323717563E-3</v>
      </c>
      <c r="G920" s="2">
        <f t="shared" si="85"/>
        <v>5.685667903700419</v>
      </c>
      <c r="H920" s="2">
        <f t="shared" si="86"/>
        <v>21.191508308165872</v>
      </c>
    </row>
    <row r="921" spans="1:8" x14ac:dyDescent="0.3">
      <c r="A921" s="1">
        <v>43471</v>
      </c>
      <c r="B921">
        <v>4076.632568</v>
      </c>
      <c r="C921" s="2">
        <f t="shared" si="84"/>
        <v>6.0188888542540342E-2</v>
      </c>
      <c r="D921">
        <f t="shared" si="87"/>
        <v>3911.9390623999998</v>
      </c>
      <c r="E921">
        <f t="shared" si="88"/>
        <v>1</v>
      </c>
      <c r="F921" s="2">
        <f t="shared" si="89"/>
        <v>0</v>
      </c>
      <c r="G921" s="2">
        <f t="shared" si="85"/>
        <v>6.0278819354461426</v>
      </c>
      <c r="H921" s="2">
        <f t="shared" si="86"/>
        <v>21.191508308165872</v>
      </c>
    </row>
    <row r="922" spans="1:8" x14ac:dyDescent="0.3">
      <c r="A922" s="1">
        <v>43472</v>
      </c>
      <c r="B922">
        <v>4025.2482909999999</v>
      </c>
      <c r="C922" s="2">
        <f t="shared" si="84"/>
        <v>-1.2604588748897028E-2</v>
      </c>
      <c r="D922">
        <f t="shared" si="87"/>
        <v>3928.3068357999996</v>
      </c>
      <c r="E922">
        <f t="shared" si="88"/>
        <v>1</v>
      </c>
      <c r="F922" s="2">
        <f t="shared" si="89"/>
        <v>-1.2604588748897028E-2</v>
      </c>
      <c r="G922" s="2">
        <f t="shared" si="85"/>
        <v>5.9519029626229383</v>
      </c>
      <c r="H922" s="2">
        <f t="shared" si="86"/>
        <v>20.924398060972607</v>
      </c>
    </row>
    <row r="923" spans="1:8" x14ac:dyDescent="0.3">
      <c r="A923" s="1">
        <v>43473</v>
      </c>
      <c r="B923">
        <v>4030.8479000000002</v>
      </c>
      <c r="C923" s="2">
        <f t="shared" si="84"/>
        <v>1.3911213905786202E-3</v>
      </c>
      <c r="D923">
        <f t="shared" si="87"/>
        <v>3967.1281735999996</v>
      </c>
      <c r="E923">
        <f t="shared" si="88"/>
        <v>1</v>
      </c>
      <c r="F923" s="2">
        <f t="shared" si="89"/>
        <v>1.3911213905786202E-3</v>
      </c>
      <c r="G923" s="2">
        <f t="shared" si="85"/>
        <v>5.9601827821488911</v>
      </c>
      <c r="H923" s="2">
        <f t="shared" si="86"/>
        <v>20.953506438700206</v>
      </c>
    </row>
    <row r="924" spans="1:8" x14ac:dyDescent="0.3">
      <c r="A924" s="1">
        <v>43474</v>
      </c>
      <c r="B924">
        <v>4035.2963869999999</v>
      </c>
      <c r="C924" s="2">
        <f t="shared" si="84"/>
        <v>1.103610731627791E-3</v>
      </c>
      <c r="D924">
        <f t="shared" si="87"/>
        <v>4002.6439452</v>
      </c>
      <c r="E924">
        <f t="shared" si="88"/>
        <v>1</v>
      </c>
      <c r="F924" s="2">
        <f t="shared" si="89"/>
        <v>1.103610731627791E-3</v>
      </c>
      <c r="G924" s="2">
        <f t="shared" si="85"/>
        <v>5.9667605038297342</v>
      </c>
      <c r="H924" s="2">
        <f t="shared" si="86"/>
        <v>20.976630953271187</v>
      </c>
    </row>
    <row r="925" spans="1:8" x14ac:dyDescent="0.3">
      <c r="A925" s="1">
        <v>43475</v>
      </c>
      <c r="B925">
        <v>3678.9245609999998</v>
      </c>
      <c r="C925" s="2">
        <f t="shared" si="84"/>
        <v>-8.8313668147915414E-2</v>
      </c>
      <c r="D925">
        <f t="shared" si="87"/>
        <v>3969.3899413999998</v>
      </c>
      <c r="E925">
        <f t="shared" si="88"/>
        <v>0</v>
      </c>
      <c r="F925" s="2">
        <f t="shared" si="89"/>
        <v>-8.8313668147915414E-2</v>
      </c>
      <c r="G925" s="2">
        <f t="shared" si="85"/>
        <v>5.4398139967764267</v>
      </c>
      <c r="H925" s="2">
        <f t="shared" si="86"/>
        <v>19.124107728402706</v>
      </c>
    </row>
    <row r="926" spans="1:8" x14ac:dyDescent="0.3">
      <c r="A926" s="1">
        <v>43476</v>
      </c>
      <c r="B926">
        <v>3687.3654790000001</v>
      </c>
      <c r="C926" s="2">
        <f t="shared" si="84"/>
        <v>2.2943982297114474E-3</v>
      </c>
      <c r="D926">
        <f t="shared" si="87"/>
        <v>3891.5365235999998</v>
      </c>
      <c r="E926">
        <f t="shared" si="88"/>
        <v>0</v>
      </c>
      <c r="F926" s="2">
        <f t="shared" si="89"/>
        <v>0</v>
      </c>
      <c r="G926" s="2">
        <f t="shared" si="85"/>
        <v>5.4522950963805901</v>
      </c>
      <c r="H926" s="2">
        <f t="shared" si="86"/>
        <v>19.124107728402706</v>
      </c>
    </row>
    <row r="927" spans="1:8" x14ac:dyDescent="0.3">
      <c r="A927" s="1">
        <v>43477</v>
      </c>
      <c r="B927">
        <v>3661.3010250000002</v>
      </c>
      <c r="C927" s="2">
        <f t="shared" si="84"/>
        <v>-7.0685843723493624E-3</v>
      </c>
      <c r="D927">
        <f t="shared" si="87"/>
        <v>3818.7470703999998</v>
      </c>
      <c r="E927">
        <f t="shared" si="88"/>
        <v>0</v>
      </c>
      <c r="F927" s="2">
        <f t="shared" si="89"/>
        <v>0</v>
      </c>
      <c r="G927" s="2">
        <f t="shared" si="85"/>
        <v>5.4137550884688768</v>
      </c>
      <c r="H927" s="2">
        <f t="shared" si="86"/>
        <v>19.124107728402706</v>
      </c>
    </row>
    <row r="928" spans="1:8" x14ac:dyDescent="0.3">
      <c r="A928" s="1">
        <v>43478</v>
      </c>
      <c r="B928">
        <v>3552.953125</v>
      </c>
      <c r="C928" s="2">
        <f t="shared" si="84"/>
        <v>-2.9592731998866473E-2</v>
      </c>
      <c r="D928">
        <f t="shared" si="87"/>
        <v>3723.1681154000007</v>
      </c>
      <c r="E928">
        <f t="shared" si="88"/>
        <v>0</v>
      </c>
      <c r="F928" s="2">
        <f t="shared" si="89"/>
        <v>0</v>
      </c>
      <c r="G928" s="2">
        <f t="shared" si="85"/>
        <v>5.2535472850283176</v>
      </c>
      <c r="H928" s="2">
        <f t="shared" si="86"/>
        <v>19.124107728402706</v>
      </c>
    </row>
    <row r="929" spans="1:8" x14ac:dyDescent="0.3">
      <c r="A929" s="1">
        <v>43479</v>
      </c>
      <c r="B929">
        <v>3706.0522460000002</v>
      </c>
      <c r="C929" s="2">
        <f t="shared" si="84"/>
        <v>4.3090667288215423E-2</v>
      </c>
      <c r="D929">
        <f t="shared" si="87"/>
        <v>3657.3192872</v>
      </c>
      <c r="E929">
        <f t="shared" si="88"/>
        <v>1</v>
      </c>
      <c r="F929" s="2">
        <f t="shared" si="89"/>
        <v>0</v>
      </c>
      <c r="G929" s="2">
        <f t="shared" si="85"/>
        <v>5.4799261431703803</v>
      </c>
      <c r="H929" s="2">
        <f t="shared" si="86"/>
        <v>19.124107728402706</v>
      </c>
    </row>
    <row r="930" spans="1:8" x14ac:dyDescent="0.3">
      <c r="A930" s="1">
        <v>43480</v>
      </c>
      <c r="B930">
        <v>3630.6752929999998</v>
      </c>
      <c r="C930" s="2">
        <f t="shared" si="84"/>
        <v>-2.0338880295429185E-2</v>
      </c>
      <c r="D930">
        <f t="shared" si="87"/>
        <v>3647.6694336</v>
      </c>
      <c r="E930">
        <f t="shared" si="88"/>
        <v>0</v>
      </c>
      <c r="F930" s="2">
        <f t="shared" si="89"/>
        <v>-2.0338880295429185E-2</v>
      </c>
      <c r="G930" s="2">
        <f t="shared" si="85"/>
        <v>5.3684705813166449</v>
      </c>
      <c r="H930" s="2">
        <f t="shared" si="86"/>
        <v>18.735144790557833</v>
      </c>
    </row>
    <row r="931" spans="1:8" x14ac:dyDescent="0.3">
      <c r="A931" s="1">
        <v>43481</v>
      </c>
      <c r="B931">
        <v>3655.006836</v>
      </c>
      <c r="C931" s="2">
        <f t="shared" si="84"/>
        <v>6.701657690763918E-3</v>
      </c>
      <c r="D931">
        <f t="shared" si="87"/>
        <v>3641.197705</v>
      </c>
      <c r="E931">
        <f t="shared" si="88"/>
        <v>1</v>
      </c>
      <c r="F931" s="2">
        <f t="shared" si="89"/>
        <v>0</v>
      </c>
      <c r="G931" s="2">
        <f t="shared" si="85"/>
        <v>5.4044482334755655</v>
      </c>
      <c r="H931" s="2">
        <f t="shared" si="86"/>
        <v>18.735144790557833</v>
      </c>
    </row>
    <row r="932" spans="1:8" x14ac:dyDescent="0.3">
      <c r="A932" s="1">
        <v>43482</v>
      </c>
      <c r="B932">
        <v>3678.5639649999998</v>
      </c>
      <c r="C932" s="2">
        <f t="shared" si="84"/>
        <v>6.4451668784786253E-3</v>
      </c>
      <c r="D932">
        <f t="shared" si="87"/>
        <v>3644.6502930000001</v>
      </c>
      <c r="E932">
        <f t="shared" si="88"/>
        <v>1</v>
      </c>
      <c r="F932" s="2">
        <f t="shared" si="89"/>
        <v>6.4451668784786253E-3</v>
      </c>
      <c r="G932" s="2">
        <f t="shared" si="85"/>
        <v>5.4392808042264145</v>
      </c>
      <c r="H932" s="2">
        <f t="shared" si="86"/>
        <v>18.855895925225436</v>
      </c>
    </row>
    <row r="933" spans="1:8" x14ac:dyDescent="0.3">
      <c r="A933" s="1">
        <v>43483</v>
      </c>
      <c r="B933">
        <v>3657.8393550000001</v>
      </c>
      <c r="C933" s="2">
        <f t="shared" si="84"/>
        <v>-5.6338859938784847E-3</v>
      </c>
      <c r="D933">
        <f t="shared" si="87"/>
        <v>3665.6275389999996</v>
      </c>
      <c r="E933">
        <f t="shared" si="88"/>
        <v>0</v>
      </c>
      <c r="F933" s="2">
        <f t="shared" si="89"/>
        <v>-5.6338859938784847E-3</v>
      </c>
      <c r="G933" s="2">
        <f t="shared" si="85"/>
        <v>5.4086365162867116</v>
      </c>
      <c r="H933" s="2">
        <f t="shared" si="86"/>
        <v>18.749663957270279</v>
      </c>
    </row>
    <row r="934" spans="1:8" x14ac:dyDescent="0.3">
      <c r="A934" s="1">
        <v>43484</v>
      </c>
      <c r="B934">
        <v>3728.5683589999999</v>
      </c>
      <c r="C934" s="2">
        <f t="shared" si="84"/>
        <v>1.9336279463262551E-2</v>
      </c>
      <c r="D934">
        <f t="shared" si="87"/>
        <v>3670.1307615999999</v>
      </c>
      <c r="E934">
        <f t="shared" si="88"/>
        <v>1</v>
      </c>
      <c r="F934" s="2">
        <f t="shared" si="89"/>
        <v>0</v>
      </c>
      <c r="G934" s="2">
        <f t="shared" si="85"/>
        <v>5.5132194234808383</v>
      </c>
      <c r="H934" s="2">
        <f t="shared" si="86"/>
        <v>18.749663957270279</v>
      </c>
    </row>
    <row r="935" spans="1:8" x14ac:dyDescent="0.3">
      <c r="A935" s="1">
        <v>43485</v>
      </c>
      <c r="B935">
        <v>3601.013672</v>
      </c>
      <c r="C935" s="2">
        <f t="shared" si="84"/>
        <v>-3.4210097474036916E-2</v>
      </c>
      <c r="D935">
        <f t="shared" si="87"/>
        <v>3664.1984373999999</v>
      </c>
      <c r="E935">
        <f t="shared" si="88"/>
        <v>0</v>
      </c>
      <c r="F935" s="2">
        <f t="shared" si="89"/>
        <v>-3.4210097474036916E-2</v>
      </c>
      <c r="G935" s="2">
        <f t="shared" si="85"/>
        <v>5.3246116496078049</v>
      </c>
      <c r="H935" s="2">
        <f t="shared" si="86"/>
        <v>18.108236125686627</v>
      </c>
    </row>
    <row r="936" spans="1:8" x14ac:dyDescent="0.3">
      <c r="A936" s="1">
        <v>43486</v>
      </c>
      <c r="B936">
        <v>3576.032471</v>
      </c>
      <c r="C936" s="2">
        <f t="shared" si="84"/>
        <v>-6.9372691345893633E-3</v>
      </c>
      <c r="D936">
        <f t="shared" si="87"/>
        <v>3648.4035643999996</v>
      </c>
      <c r="E936">
        <f t="shared" si="88"/>
        <v>0</v>
      </c>
      <c r="F936" s="2">
        <f t="shared" si="89"/>
        <v>0</v>
      </c>
      <c r="G936" s="2">
        <f t="shared" si="85"/>
        <v>5.2876733855573059</v>
      </c>
      <c r="H936" s="2">
        <f t="shared" si="86"/>
        <v>18.108236125686627</v>
      </c>
    </row>
    <row r="937" spans="1:8" x14ac:dyDescent="0.3">
      <c r="A937" s="1">
        <v>43487</v>
      </c>
      <c r="B937">
        <v>3604.5771479999999</v>
      </c>
      <c r="C937" s="2">
        <f t="shared" si="84"/>
        <v>7.9822197453418564E-3</v>
      </c>
      <c r="D937">
        <f t="shared" si="87"/>
        <v>3633.6062010000001</v>
      </c>
      <c r="E937">
        <f t="shared" si="88"/>
        <v>0</v>
      </c>
      <c r="F937" s="2">
        <f t="shared" si="89"/>
        <v>0</v>
      </c>
      <c r="G937" s="2">
        <f t="shared" si="85"/>
        <v>5.32988075646242</v>
      </c>
      <c r="H937" s="2">
        <f t="shared" si="86"/>
        <v>18.108236125686627</v>
      </c>
    </row>
    <row r="938" spans="1:8" x14ac:dyDescent="0.3">
      <c r="A938" s="1">
        <v>43488</v>
      </c>
      <c r="B938">
        <v>3585.123047</v>
      </c>
      <c r="C938" s="2">
        <f t="shared" si="84"/>
        <v>-5.3970549668479473E-3</v>
      </c>
      <c r="D938">
        <f t="shared" si="87"/>
        <v>3619.0629394000002</v>
      </c>
      <c r="E938">
        <f t="shared" si="88"/>
        <v>0</v>
      </c>
      <c r="F938" s="2">
        <f t="shared" si="89"/>
        <v>0</v>
      </c>
      <c r="G938" s="2">
        <f t="shared" si="85"/>
        <v>5.3011150970530476</v>
      </c>
      <c r="H938" s="2">
        <f t="shared" si="86"/>
        <v>18.108236125686627</v>
      </c>
    </row>
    <row r="939" spans="1:8" x14ac:dyDescent="0.3">
      <c r="A939" s="1">
        <v>43489</v>
      </c>
      <c r="B939">
        <v>3600.8654790000001</v>
      </c>
      <c r="C939" s="2">
        <f t="shared" si="84"/>
        <v>4.3910437085759035E-3</v>
      </c>
      <c r="D939">
        <f t="shared" si="87"/>
        <v>3593.5223634000004</v>
      </c>
      <c r="E939">
        <f t="shared" si="88"/>
        <v>1</v>
      </c>
      <c r="F939" s="2">
        <f t="shared" si="89"/>
        <v>0</v>
      </c>
      <c r="G939" s="2">
        <f t="shared" si="85"/>
        <v>5.324392525148399</v>
      </c>
      <c r="H939" s="2">
        <f t="shared" si="86"/>
        <v>18.108236125686627</v>
      </c>
    </row>
    <row r="940" spans="1:8" x14ac:dyDescent="0.3">
      <c r="A940" s="1">
        <v>43490</v>
      </c>
      <c r="B940">
        <v>3599.7658689999998</v>
      </c>
      <c r="C940" s="2">
        <f t="shared" si="84"/>
        <v>-3.0537380705086825E-4</v>
      </c>
      <c r="D940">
        <f t="shared" si="87"/>
        <v>3593.2728027999997</v>
      </c>
      <c r="E940">
        <f t="shared" si="88"/>
        <v>1</v>
      </c>
      <c r="F940" s="2">
        <f t="shared" si="89"/>
        <v>-3.0537380705086825E-4</v>
      </c>
      <c r="G940" s="2">
        <f t="shared" si="85"/>
        <v>5.3227665951327614</v>
      </c>
      <c r="H940" s="2">
        <f t="shared" si="86"/>
        <v>18.102706344681952</v>
      </c>
    </row>
    <row r="941" spans="1:8" x14ac:dyDescent="0.3">
      <c r="A941" s="1">
        <v>43491</v>
      </c>
      <c r="B941">
        <v>3602.4604490000002</v>
      </c>
      <c r="C941" s="2">
        <f t="shared" si="84"/>
        <v>7.485431269864673E-4</v>
      </c>
      <c r="D941">
        <f t="shared" si="87"/>
        <v>3598.5583983999995</v>
      </c>
      <c r="E941">
        <f t="shared" si="88"/>
        <v>1</v>
      </c>
      <c r="F941" s="2">
        <f t="shared" si="89"/>
        <v>7.485431269864673E-4</v>
      </c>
      <c r="G941" s="2">
        <f t="shared" si="85"/>
        <v>5.3267509154841015</v>
      </c>
      <c r="H941" s="2">
        <f t="shared" si="86"/>
        <v>18.116257001096116</v>
      </c>
    </row>
    <row r="942" spans="1:8" x14ac:dyDescent="0.3">
      <c r="A942" s="1">
        <v>43492</v>
      </c>
      <c r="B942">
        <v>3583.9658199999999</v>
      </c>
      <c r="C942" s="2">
        <f t="shared" si="84"/>
        <v>-5.1338881472339226E-3</v>
      </c>
      <c r="D942">
        <f t="shared" si="87"/>
        <v>3594.4361328</v>
      </c>
      <c r="E942">
        <f t="shared" si="88"/>
        <v>0</v>
      </c>
      <c r="F942" s="2">
        <f t="shared" si="89"/>
        <v>-5.1338881472339226E-3</v>
      </c>
      <c r="G942" s="2">
        <f t="shared" si="85"/>
        <v>5.2994039720958304</v>
      </c>
      <c r="H942" s="2">
        <f t="shared" si="86"/>
        <v>18.023250164005944</v>
      </c>
    </row>
    <row r="943" spans="1:8" x14ac:dyDescent="0.3">
      <c r="A943" s="1">
        <v>43493</v>
      </c>
      <c r="B943">
        <v>3470.4504390000002</v>
      </c>
      <c r="C943" s="2">
        <f t="shared" si="84"/>
        <v>-3.167312042055126E-2</v>
      </c>
      <c r="D943">
        <f t="shared" si="87"/>
        <v>3571.5016111999998</v>
      </c>
      <c r="E943">
        <f t="shared" si="88"/>
        <v>0</v>
      </c>
      <c r="F943" s="2">
        <f t="shared" si="89"/>
        <v>0</v>
      </c>
      <c r="G943" s="2">
        <f t="shared" si="85"/>
        <v>5.1315553119304917</v>
      </c>
      <c r="H943" s="2">
        <f t="shared" si="86"/>
        <v>18.023250164005944</v>
      </c>
    </row>
    <row r="944" spans="1:8" x14ac:dyDescent="0.3">
      <c r="A944" s="1">
        <v>43494</v>
      </c>
      <c r="B944">
        <v>3448.116943</v>
      </c>
      <c r="C944" s="2">
        <f t="shared" si="84"/>
        <v>-6.435330627120428E-3</v>
      </c>
      <c r="D944">
        <f t="shared" si="87"/>
        <v>3540.951904</v>
      </c>
      <c r="E944">
        <f t="shared" si="88"/>
        <v>0</v>
      </c>
      <c r="F944" s="2">
        <f t="shared" si="89"/>
        <v>0</v>
      </c>
      <c r="G944" s="2">
        <f t="shared" si="85"/>
        <v>5.0985320568668628</v>
      </c>
      <c r="H944" s="2">
        <f t="shared" si="86"/>
        <v>18.023250164005944</v>
      </c>
    </row>
    <row r="945" spans="1:8" x14ac:dyDescent="0.3">
      <c r="A945" s="1">
        <v>43495</v>
      </c>
      <c r="B945">
        <v>3486.1816410000001</v>
      </c>
      <c r="C945" s="2">
        <f t="shared" si="84"/>
        <v>1.1039271181702448E-2</v>
      </c>
      <c r="D945">
        <f t="shared" si="87"/>
        <v>3518.2350584000001</v>
      </c>
      <c r="E945">
        <f t="shared" si="88"/>
        <v>0</v>
      </c>
      <c r="F945" s="2">
        <f t="shared" si="89"/>
        <v>0</v>
      </c>
      <c r="G945" s="2">
        <f t="shared" si="85"/>
        <v>5.1548161348712194</v>
      </c>
      <c r="H945" s="2">
        <f t="shared" si="86"/>
        <v>18.023250164005944</v>
      </c>
    </row>
    <row r="946" spans="1:8" x14ac:dyDescent="0.3">
      <c r="A946" s="1">
        <v>43496</v>
      </c>
      <c r="B946">
        <v>3457.7927249999998</v>
      </c>
      <c r="C946" s="2">
        <f t="shared" si="84"/>
        <v>-8.143269319683788E-3</v>
      </c>
      <c r="D946">
        <f t="shared" si="87"/>
        <v>3489.3015135999995</v>
      </c>
      <c r="E946">
        <f t="shared" si="88"/>
        <v>0</v>
      </c>
      <c r="F946" s="2">
        <f t="shared" si="89"/>
        <v>0</v>
      </c>
      <c r="G946" s="2">
        <f t="shared" si="85"/>
        <v>5.1128390787915112</v>
      </c>
      <c r="H946" s="2">
        <f t="shared" si="86"/>
        <v>18.023250164005944</v>
      </c>
    </row>
    <row r="947" spans="1:8" x14ac:dyDescent="0.3">
      <c r="A947" s="1">
        <v>43497</v>
      </c>
      <c r="B947">
        <v>3487.9453130000002</v>
      </c>
      <c r="C947" s="2">
        <f t="shared" si="84"/>
        <v>8.7201837698356321E-3</v>
      </c>
      <c r="D947">
        <f t="shared" si="87"/>
        <v>3470.0974121999998</v>
      </c>
      <c r="E947">
        <f t="shared" si="88"/>
        <v>1</v>
      </c>
      <c r="F947" s="2">
        <f t="shared" si="89"/>
        <v>0</v>
      </c>
      <c r="G947" s="2">
        <f t="shared" si="85"/>
        <v>5.1574239751441704</v>
      </c>
      <c r="H947" s="2">
        <f t="shared" si="86"/>
        <v>18.023250164005944</v>
      </c>
    </row>
    <row r="948" spans="1:8" x14ac:dyDescent="0.3">
      <c r="A948" s="1">
        <v>43498</v>
      </c>
      <c r="B948">
        <v>3521.0607909999999</v>
      </c>
      <c r="C948" s="2">
        <f t="shared" si="84"/>
        <v>9.4942652559872887E-3</v>
      </c>
      <c r="D948">
        <f t="shared" si="87"/>
        <v>3480.2194826</v>
      </c>
      <c r="E948">
        <f t="shared" si="88"/>
        <v>1</v>
      </c>
      <c r="F948" s="2">
        <f t="shared" si="89"/>
        <v>9.4942652559872887E-3</v>
      </c>
      <c r="G948" s="2">
        <f t="shared" si="85"/>
        <v>5.2063899264017772</v>
      </c>
      <c r="H948" s="2">
        <f t="shared" si="86"/>
        <v>18.194367681838031</v>
      </c>
    </row>
    <row r="949" spans="1:8" x14ac:dyDescent="0.3">
      <c r="A949" s="1">
        <v>43499</v>
      </c>
      <c r="B949">
        <v>3464.0134280000002</v>
      </c>
      <c r="C949" s="2">
        <f t="shared" si="84"/>
        <v>-1.6201754637640842E-2</v>
      </c>
      <c r="D949">
        <f t="shared" si="87"/>
        <v>3483.3987796000001</v>
      </c>
      <c r="E949">
        <f t="shared" si="88"/>
        <v>0</v>
      </c>
      <c r="F949" s="2">
        <f t="shared" si="89"/>
        <v>-1.6201754637640842E-2</v>
      </c>
      <c r="G949" s="2">
        <f t="shared" si="85"/>
        <v>5.1220372742663303</v>
      </c>
      <c r="H949" s="2">
        <f t="shared" si="86"/>
        <v>17.899587000869868</v>
      </c>
    </row>
    <row r="950" spans="1:8" x14ac:dyDescent="0.3">
      <c r="A950" s="1">
        <v>43500</v>
      </c>
      <c r="B950">
        <v>3459.1540530000002</v>
      </c>
      <c r="C950" s="2">
        <f t="shared" si="84"/>
        <v>-1.4028164442785318E-3</v>
      </c>
      <c r="D950">
        <f t="shared" si="87"/>
        <v>3477.993262</v>
      </c>
      <c r="E950">
        <f t="shared" si="88"/>
        <v>0</v>
      </c>
      <c r="F950" s="2">
        <f t="shared" si="89"/>
        <v>0</v>
      </c>
      <c r="G950" s="2">
        <f t="shared" si="85"/>
        <v>5.114851996149782</v>
      </c>
      <c r="H950" s="2">
        <f t="shared" si="86"/>
        <v>17.899587000869868</v>
      </c>
    </row>
    <row r="951" spans="1:8" x14ac:dyDescent="0.3">
      <c r="A951" s="1">
        <v>43501</v>
      </c>
      <c r="B951">
        <v>3466.357422</v>
      </c>
      <c r="C951" s="2">
        <f t="shared" si="84"/>
        <v>2.0824076897507648E-3</v>
      </c>
      <c r="D951">
        <f t="shared" si="87"/>
        <v>3479.7062014000003</v>
      </c>
      <c r="E951">
        <f t="shared" si="88"/>
        <v>0</v>
      </c>
      <c r="F951" s="2">
        <f t="shared" si="89"/>
        <v>0</v>
      </c>
      <c r="G951" s="2">
        <f t="shared" si="85"/>
        <v>5.1255032032785017</v>
      </c>
      <c r="H951" s="2">
        <f t="shared" si="86"/>
        <v>17.899587000869868</v>
      </c>
    </row>
    <row r="952" spans="1:8" x14ac:dyDescent="0.3">
      <c r="A952" s="1">
        <v>43502</v>
      </c>
      <c r="B952">
        <v>3413.7678219999998</v>
      </c>
      <c r="C952" s="2">
        <f t="shared" si="84"/>
        <v>-1.517143029343393E-2</v>
      </c>
      <c r="D952">
        <f t="shared" si="87"/>
        <v>3464.8707032000007</v>
      </c>
      <c r="E952">
        <f t="shared" si="88"/>
        <v>0</v>
      </c>
      <c r="F952" s="2">
        <f t="shared" si="89"/>
        <v>0</v>
      </c>
      <c r="G952" s="2">
        <f t="shared" si="85"/>
        <v>5.0477419887111896</v>
      </c>
      <c r="H952" s="2">
        <f t="shared" si="86"/>
        <v>17.899587000869868</v>
      </c>
    </row>
    <row r="953" spans="1:8" x14ac:dyDescent="0.3">
      <c r="A953" s="1">
        <v>43503</v>
      </c>
      <c r="B953">
        <v>3399.4716800000001</v>
      </c>
      <c r="C953" s="2">
        <f t="shared" si="84"/>
        <v>-4.1877897810941311E-3</v>
      </c>
      <c r="D953">
        <f t="shared" si="87"/>
        <v>3440.5528810000005</v>
      </c>
      <c r="E953">
        <f t="shared" si="88"/>
        <v>0</v>
      </c>
      <c r="F953" s="2">
        <f t="shared" si="89"/>
        <v>0</v>
      </c>
      <c r="G953" s="2">
        <f t="shared" si="85"/>
        <v>5.0266031063932655</v>
      </c>
      <c r="H953" s="2">
        <f t="shared" si="86"/>
        <v>17.899587000869868</v>
      </c>
    </row>
    <row r="954" spans="1:8" x14ac:dyDescent="0.3">
      <c r="A954" s="1">
        <v>43504</v>
      </c>
      <c r="B954">
        <v>3666.7802729999999</v>
      </c>
      <c r="C954" s="2">
        <f t="shared" si="84"/>
        <v>7.8632392960543696E-2</v>
      </c>
      <c r="D954">
        <f t="shared" si="87"/>
        <v>3481.1062499999998</v>
      </c>
      <c r="E954">
        <f t="shared" si="88"/>
        <v>1</v>
      </c>
      <c r="F954" s="2">
        <f t="shared" si="89"/>
        <v>0</v>
      </c>
      <c r="G954" s="2">
        <f t="shared" si="85"/>
        <v>5.4218569371118708</v>
      </c>
      <c r="H954" s="2">
        <f t="shared" si="86"/>
        <v>17.899587000869868</v>
      </c>
    </row>
    <row r="955" spans="1:8" x14ac:dyDescent="0.3">
      <c r="A955" s="1">
        <v>43505</v>
      </c>
      <c r="B955">
        <v>3671.2036130000001</v>
      </c>
      <c r="C955" s="2">
        <f t="shared" si="84"/>
        <v>1.2063280782246277E-3</v>
      </c>
      <c r="D955">
        <f t="shared" si="87"/>
        <v>3523.5161619999999</v>
      </c>
      <c r="E955">
        <f t="shared" si="88"/>
        <v>1</v>
      </c>
      <c r="F955" s="2">
        <f t="shared" si="89"/>
        <v>1.2063280782246277E-3</v>
      </c>
      <c r="G955" s="2">
        <f t="shared" si="85"/>
        <v>5.4283974753712254</v>
      </c>
      <c r="H955" s="2">
        <f t="shared" si="86"/>
        <v>17.921179775257642</v>
      </c>
    </row>
    <row r="956" spans="1:8" x14ac:dyDescent="0.3">
      <c r="A956" s="1">
        <v>43506</v>
      </c>
      <c r="B956">
        <v>3690.188232</v>
      </c>
      <c r="C956" s="2">
        <f t="shared" si="84"/>
        <v>5.1712247538584499E-3</v>
      </c>
      <c r="D956">
        <f t="shared" si="87"/>
        <v>3568.2823239999998</v>
      </c>
      <c r="E956">
        <f t="shared" si="88"/>
        <v>1</v>
      </c>
      <c r="F956" s="2">
        <f t="shared" si="89"/>
        <v>5.1712247538584499E-3</v>
      </c>
      <c r="G956" s="2">
        <f t="shared" si="85"/>
        <v>5.4564689387696479</v>
      </c>
      <c r="H956" s="2">
        <f t="shared" si="86"/>
        <v>18.013854223729801</v>
      </c>
    </row>
    <row r="957" spans="1:8" x14ac:dyDescent="0.3">
      <c r="A957" s="1">
        <v>43507</v>
      </c>
      <c r="B957">
        <v>3648.430664</v>
      </c>
      <c r="C957" s="2">
        <f t="shared" si="84"/>
        <v>-1.1315836855663175E-2</v>
      </c>
      <c r="D957">
        <f t="shared" si="87"/>
        <v>3615.2148924000003</v>
      </c>
      <c r="E957">
        <f t="shared" si="88"/>
        <v>1</v>
      </c>
      <c r="F957" s="2">
        <f t="shared" si="89"/>
        <v>-1.1315836855663175E-2</v>
      </c>
      <c r="G957" s="2">
        <f t="shared" si="85"/>
        <v>5.3947244264505372</v>
      </c>
      <c r="H957" s="2">
        <f t="shared" si="86"/>
        <v>17.810012388192376</v>
      </c>
    </row>
    <row r="958" spans="1:8" x14ac:dyDescent="0.3">
      <c r="A958" s="1">
        <v>43508</v>
      </c>
      <c r="B958">
        <v>3653.5285640000002</v>
      </c>
      <c r="C958" s="2">
        <f t="shared" si="84"/>
        <v>1.3972857015764895E-3</v>
      </c>
      <c r="D958">
        <f t="shared" si="87"/>
        <v>3666.0262692000006</v>
      </c>
      <c r="E958">
        <f t="shared" si="88"/>
        <v>0</v>
      </c>
      <c r="F958" s="2">
        <f t="shared" si="89"/>
        <v>1.3972857015764895E-3</v>
      </c>
      <c r="G958" s="2">
        <f t="shared" si="85"/>
        <v>5.4022623977555622</v>
      </c>
      <c r="H958" s="2">
        <f t="shared" si="86"/>
        <v>17.834898063847298</v>
      </c>
    </row>
    <row r="959" spans="1:8" x14ac:dyDescent="0.3">
      <c r="A959" s="1">
        <v>43509</v>
      </c>
      <c r="B959">
        <v>3632.070557</v>
      </c>
      <c r="C959" s="2">
        <f t="shared" si="84"/>
        <v>-5.8732282023018501E-3</v>
      </c>
      <c r="D959">
        <f t="shared" si="87"/>
        <v>3659.0843260000001</v>
      </c>
      <c r="E959">
        <f t="shared" si="88"/>
        <v>0</v>
      </c>
      <c r="F959" s="2">
        <f t="shared" si="89"/>
        <v>0</v>
      </c>
      <c r="G959" s="2">
        <f t="shared" si="85"/>
        <v>5.3705336778848292</v>
      </c>
      <c r="H959" s="2">
        <f t="shared" si="86"/>
        <v>17.834898063847298</v>
      </c>
    </row>
    <row r="960" spans="1:8" x14ac:dyDescent="0.3">
      <c r="A960" s="1">
        <v>43510</v>
      </c>
      <c r="B960">
        <v>3616.8808589999999</v>
      </c>
      <c r="C960" s="2">
        <f t="shared" si="84"/>
        <v>-4.1821043290928284E-3</v>
      </c>
      <c r="D960">
        <f t="shared" si="87"/>
        <v>3648.2197752000002</v>
      </c>
      <c r="E960">
        <f t="shared" si="88"/>
        <v>0</v>
      </c>
      <c r="F960" s="2">
        <f t="shared" si="89"/>
        <v>0</v>
      </c>
      <c r="G960" s="2">
        <f t="shared" si="85"/>
        <v>5.3480735457410082</v>
      </c>
      <c r="H960" s="2">
        <f t="shared" si="86"/>
        <v>17.834898063847298</v>
      </c>
    </row>
    <row r="961" spans="1:8" x14ac:dyDescent="0.3">
      <c r="A961" s="1">
        <v>43511</v>
      </c>
      <c r="B961">
        <v>3620.8107909999999</v>
      </c>
      <c r="C961" s="2">
        <f t="shared" si="84"/>
        <v>1.086552793194917E-3</v>
      </c>
      <c r="D961">
        <f t="shared" si="87"/>
        <v>3634.3442869999999</v>
      </c>
      <c r="E961">
        <f t="shared" si="88"/>
        <v>0</v>
      </c>
      <c r="F961" s="2">
        <f t="shared" si="89"/>
        <v>0</v>
      </c>
      <c r="G961" s="2">
        <f t="shared" si="85"/>
        <v>5.3538845099903449</v>
      </c>
      <c r="H961" s="2">
        <f t="shared" si="86"/>
        <v>17.834898063847298</v>
      </c>
    </row>
    <row r="962" spans="1:8" x14ac:dyDescent="0.3">
      <c r="A962" s="1">
        <v>43512</v>
      </c>
      <c r="B962">
        <v>3629.7875979999999</v>
      </c>
      <c r="C962" s="2">
        <f t="shared" si="84"/>
        <v>2.4792256536334545E-3</v>
      </c>
      <c r="D962">
        <f t="shared" si="87"/>
        <v>3630.6156738</v>
      </c>
      <c r="E962">
        <f t="shared" si="88"/>
        <v>0</v>
      </c>
      <c r="F962" s="2">
        <f t="shared" si="89"/>
        <v>0</v>
      </c>
      <c r="G962" s="2">
        <f t="shared" si="85"/>
        <v>5.367157997814104</v>
      </c>
      <c r="H962" s="2">
        <f t="shared" si="86"/>
        <v>17.834898063847298</v>
      </c>
    </row>
    <row r="963" spans="1:8" x14ac:dyDescent="0.3">
      <c r="A963" s="1">
        <v>43513</v>
      </c>
      <c r="B963">
        <v>3673.836182</v>
      </c>
      <c r="C963" s="2">
        <f t="shared" si="84"/>
        <v>1.2135306215788066E-2</v>
      </c>
      <c r="D963">
        <f t="shared" si="87"/>
        <v>3634.6771973999994</v>
      </c>
      <c r="E963">
        <f t="shared" si="88"/>
        <v>1</v>
      </c>
      <c r="F963" s="2">
        <f t="shared" si="89"/>
        <v>0</v>
      </c>
      <c r="G963" s="2">
        <f t="shared" si="85"/>
        <v>5.4322901036260944</v>
      </c>
      <c r="H963" s="2">
        <f t="shared" si="86"/>
        <v>17.834898063847298</v>
      </c>
    </row>
    <row r="964" spans="1:8" x14ac:dyDescent="0.3">
      <c r="A964" s="1">
        <v>43514</v>
      </c>
      <c r="B964">
        <v>3915.7143550000001</v>
      </c>
      <c r="C964" s="2">
        <f t="shared" ref="C964:C1027" si="90">B964/B963-1</f>
        <v>6.5838039862823772E-2</v>
      </c>
      <c r="D964">
        <f t="shared" si="87"/>
        <v>3691.4059569999999</v>
      </c>
      <c r="E964">
        <f t="shared" si="88"/>
        <v>1</v>
      </c>
      <c r="F964" s="2">
        <f t="shared" si="89"/>
        <v>6.5838039862823772E-2</v>
      </c>
      <c r="G964" s="2">
        <f t="shared" ref="G964:G1027" si="91">(1+C964)*G963</f>
        <v>5.7899414360150523</v>
      </c>
      <c r="H964" s="2">
        <f t="shared" ref="H964:H1027" si="92">(1+F964)*H963</f>
        <v>19.009112793524274</v>
      </c>
    </row>
    <row r="965" spans="1:8" x14ac:dyDescent="0.3">
      <c r="A965" s="1">
        <v>43515</v>
      </c>
      <c r="B965">
        <v>3947.094482</v>
      </c>
      <c r="C965" s="2">
        <f t="shared" si="90"/>
        <v>8.0138958450659548E-3</v>
      </c>
      <c r="D965">
        <f t="shared" si="87"/>
        <v>3757.4486815999999</v>
      </c>
      <c r="E965">
        <f t="shared" si="88"/>
        <v>1</v>
      </c>
      <c r="F965" s="2">
        <f t="shared" si="89"/>
        <v>8.0138958450659548E-3</v>
      </c>
      <c r="G965" s="2">
        <f t="shared" si="91"/>
        <v>5.8363414236323088</v>
      </c>
      <c r="H965" s="2">
        <f t="shared" si="92"/>
        <v>19.161449843558689</v>
      </c>
    </row>
    <row r="966" spans="1:8" x14ac:dyDescent="0.3">
      <c r="A966" s="1">
        <v>43516</v>
      </c>
      <c r="B966">
        <v>3999.820557</v>
      </c>
      <c r="C966" s="2">
        <f t="shared" si="90"/>
        <v>1.3358199364227996E-2</v>
      </c>
      <c r="D966">
        <f t="shared" si="87"/>
        <v>3833.2506348000002</v>
      </c>
      <c r="E966">
        <f t="shared" si="88"/>
        <v>1</v>
      </c>
      <c r="F966" s="2">
        <f t="shared" si="89"/>
        <v>1.3358199364227996E-2</v>
      </c>
      <c r="G966" s="2">
        <f t="shared" si="91"/>
        <v>5.9143044359268915</v>
      </c>
      <c r="H966" s="2">
        <f t="shared" si="92"/>
        <v>19.4174123106766</v>
      </c>
    </row>
    <row r="967" spans="1:8" x14ac:dyDescent="0.3">
      <c r="A967" s="1">
        <v>43517</v>
      </c>
      <c r="B967">
        <v>3954.118164</v>
      </c>
      <c r="C967" s="2">
        <f t="shared" si="90"/>
        <v>-1.1426110833901548E-2</v>
      </c>
      <c r="D967">
        <f t="shared" ref="D967:D1030" si="93">AVERAGE(B963:B967)</f>
        <v>3898.1167479999995</v>
      </c>
      <c r="E967">
        <f t="shared" ref="E967:E1030" si="94">IF(B967&gt;D967,1,0)</f>
        <v>1</v>
      </c>
      <c r="F967" s="2">
        <f t="shared" si="89"/>
        <v>-1.1426110833901548E-2</v>
      </c>
      <c r="G967" s="2">
        <f t="shared" si="91"/>
        <v>5.8467269379365554</v>
      </c>
      <c r="H967" s="2">
        <f t="shared" si="92"/>
        <v>19.195546805507245</v>
      </c>
    </row>
    <row r="968" spans="1:8" x14ac:dyDescent="0.3">
      <c r="A968" s="1">
        <v>43518</v>
      </c>
      <c r="B968">
        <v>4005.5266109999998</v>
      </c>
      <c r="C968" s="2">
        <f t="shared" si="90"/>
        <v>1.3001241962884214E-2</v>
      </c>
      <c r="D968">
        <f t="shared" si="93"/>
        <v>3964.4548338</v>
      </c>
      <c r="E968">
        <f t="shared" si="94"/>
        <v>1</v>
      </c>
      <c r="F968" s="2">
        <f t="shared" ref="F968:F1031" si="95">E967*C968</f>
        <v>1.3001241962884214E-2</v>
      </c>
      <c r="G968" s="2">
        <f t="shared" si="91"/>
        <v>5.9227416495475813</v>
      </c>
      <c r="H968" s="2">
        <f t="shared" si="92"/>
        <v>19.445112754135515</v>
      </c>
    </row>
    <row r="969" spans="1:8" x14ac:dyDescent="0.3">
      <c r="A969" s="1">
        <v>43519</v>
      </c>
      <c r="B969">
        <v>4142.5268550000001</v>
      </c>
      <c r="C969" s="2">
        <f t="shared" si="90"/>
        <v>3.4202804600965475E-2</v>
      </c>
      <c r="D969">
        <f t="shared" si="93"/>
        <v>4009.8173337999992</v>
      </c>
      <c r="E969">
        <f t="shared" si="94"/>
        <v>1</v>
      </c>
      <c r="F969" s="2">
        <f t="shared" si="95"/>
        <v>3.4202804600965475E-2</v>
      </c>
      <c r="G969" s="2">
        <f t="shared" si="91"/>
        <v>6.1253160248890568</v>
      </c>
      <c r="H969" s="2">
        <f t="shared" si="92"/>
        <v>20.110190146108952</v>
      </c>
    </row>
    <row r="970" spans="1:8" x14ac:dyDescent="0.3">
      <c r="A970" s="1">
        <v>43520</v>
      </c>
      <c r="B970">
        <v>3810.42749</v>
      </c>
      <c r="C970" s="2">
        <f t="shared" si="90"/>
        <v>-8.0168307080292878E-2</v>
      </c>
      <c r="D970">
        <f t="shared" si="93"/>
        <v>3982.4839353999996</v>
      </c>
      <c r="E970">
        <f t="shared" si="94"/>
        <v>0</v>
      </c>
      <c r="F970" s="2">
        <f t="shared" si="95"/>
        <v>-8.0168307080292878E-2</v>
      </c>
      <c r="G970" s="2">
        <f t="shared" si="91"/>
        <v>5.6342598088419118</v>
      </c>
      <c r="H970" s="2">
        <f t="shared" si="92"/>
        <v>18.497990247032611</v>
      </c>
    </row>
    <row r="971" spans="1:8" x14ac:dyDescent="0.3">
      <c r="A971" s="1">
        <v>43521</v>
      </c>
      <c r="B971">
        <v>3882.696289</v>
      </c>
      <c r="C971" s="2">
        <f t="shared" si="90"/>
        <v>1.8966060682078512E-2</v>
      </c>
      <c r="D971">
        <f t="shared" si="93"/>
        <v>3959.0590818000005</v>
      </c>
      <c r="E971">
        <f t="shared" si="94"/>
        <v>0</v>
      </c>
      <c r="F971" s="2">
        <f t="shared" si="95"/>
        <v>0</v>
      </c>
      <c r="G971" s="2">
        <f t="shared" si="91"/>
        <v>5.741119522275004</v>
      </c>
      <c r="H971" s="2">
        <f t="shared" si="92"/>
        <v>18.497990247032611</v>
      </c>
    </row>
    <row r="972" spans="1:8" x14ac:dyDescent="0.3">
      <c r="A972" s="1">
        <v>43522</v>
      </c>
      <c r="B972">
        <v>3854.3579100000002</v>
      </c>
      <c r="C972" s="2">
        <f t="shared" si="90"/>
        <v>-7.2986339622506113E-3</v>
      </c>
      <c r="D972">
        <f t="shared" si="93"/>
        <v>3939.1070309999996</v>
      </c>
      <c r="E972">
        <f t="shared" si="94"/>
        <v>0</v>
      </c>
      <c r="F972" s="2">
        <f t="shared" si="95"/>
        <v>0</v>
      </c>
      <c r="G972" s="2">
        <f t="shared" si="91"/>
        <v>5.6992171923483879</v>
      </c>
      <c r="H972" s="2">
        <f t="shared" si="92"/>
        <v>18.497990247032611</v>
      </c>
    </row>
    <row r="973" spans="1:8" x14ac:dyDescent="0.3">
      <c r="A973" s="1">
        <v>43523</v>
      </c>
      <c r="B973">
        <v>3851.0473630000001</v>
      </c>
      <c r="C973" s="2">
        <f t="shared" si="90"/>
        <v>-8.5891011610805812E-4</v>
      </c>
      <c r="D973">
        <f t="shared" si="93"/>
        <v>3908.2111814000004</v>
      </c>
      <c r="E973">
        <f t="shared" si="94"/>
        <v>0</v>
      </c>
      <c r="F973" s="2">
        <f t="shared" si="95"/>
        <v>0</v>
      </c>
      <c r="G973" s="2">
        <f t="shared" si="91"/>
        <v>5.6943220770479828</v>
      </c>
      <c r="H973" s="2">
        <f t="shared" si="92"/>
        <v>18.497990247032611</v>
      </c>
    </row>
    <row r="974" spans="1:8" x14ac:dyDescent="0.3">
      <c r="A974" s="1">
        <v>43524</v>
      </c>
      <c r="B974">
        <v>3854.7854000000002</v>
      </c>
      <c r="C974" s="2">
        <f t="shared" si="90"/>
        <v>9.7065464214085573E-4</v>
      </c>
      <c r="D974">
        <f t="shared" si="93"/>
        <v>3850.6628903999999</v>
      </c>
      <c r="E974">
        <f t="shared" si="94"/>
        <v>1</v>
      </c>
      <c r="F974" s="2">
        <f t="shared" si="95"/>
        <v>0</v>
      </c>
      <c r="G974" s="2">
        <f t="shared" si="91"/>
        <v>5.6998492972059145</v>
      </c>
      <c r="H974" s="2">
        <f t="shared" si="92"/>
        <v>18.497990247032611</v>
      </c>
    </row>
    <row r="975" spans="1:8" x14ac:dyDescent="0.3">
      <c r="A975" s="1">
        <v>43525</v>
      </c>
      <c r="B975">
        <v>3859.58374</v>
      </c>
      <c r="C975" s="2">
        <f t="shared" si="90"/>
        <v>1.2447748712547391E-3</v>
      </c>
      <c r="D975">
        <f t="shared" si="93"/>
        <v>3860.4941403999997</v>
      </c>
      <c r="E975">
        <f t="shared" si="94"/>
        <v>0</v>
      </c>
      <c r="F975" s="2">
        <f t="shared" si="95"/>
        <v>1.2447748712547391E-3</v>
      </c>
      <c r="G975" s="2">
        <f t="shared" si="91"/>
        <v>5.7069443263810156</v>
      </c>
      <c r="H975" s="2">
        <f t="shared" si="92"/>
        <v>18.521016080460832</v>
      </c>
    </row>
    <row r="976" spans="1:8" x14ac:dyDescent="0.3">
      <c r="A976" s="1">
        <v>43526</v>
      </c>
      <c r="B976">
        <v>3864.415039</v>
      </c>
      <c r="C976" s="2">
        <f t="shared" si="90"/>
        <v>1.2517668550442451E-3</v>
      </c>
      <c r="D976">
        <f t="shared" si="93"/>
        <v>3856.8378904000006</v>
      </c>
      <c r="E976">
        <f t="shared" si="94"/>
        <v>1</v>
      </c>
      <c r="F976" s="2">
        <f t="shared" si="95"/>
        <v>0</v>
      </c>
      <c r="G976" s="2">
        <f t="shared" si="91"/>
        <v>5.7140880901323623</v>
      </c>
      <c r="H976" s="2">
        <f t="shared" si="92"/>
        <v>18.521016080460832</v>
      </c>
    </row>
    <row r="977" spans="1:8" x14ac:dyDescent="0.3">
      <c r="A977" s="1">
        <v>43527</v>
      </c>
      <c r="B977">
        <v>3847.1757809999999</v>
      </c>
      <c r="C977" s="2">
        <f t="shared" si="90"/>
        <v>-4.4610265269180438E-3</v>
      </c>
      <c r="D977">
        <f t="shared" si="93"/>
        <v>3855.4014645999996</v>
      </c>
      <c r="E977">
        <f t="shared" si="94"/>
        <v>0</v>
      </c>
      <c r="F977" s="2">
        <f t="shared" si="95"/>
        <v>-4.4610265269180438E-3</v>
      </c>
      <c r="G977" s="2">
        <f t="shared" si="91"/>
        <v>5.6885973915851356</v>
      </c>
      <c r="H977" s="2">
        <f t="shared" si="92"/>
        <v>18.438393336420422</v>
      </c>
    </row>
    <row r="978" spans="1:8" x14ac:dyDescent="0.3">
      <c r="A978" s="1">
        <v>43528</v>
      </c>
      <c r="B978">
        <v>3761.5571289999998</v>
      </c>
      <c r="C978" s="2">
        <f t="shared" si="90"/>
        <v>-2.2254936315320939E-2</v>
      </c>
      <c r="D978">
        <f t="shared" si="93"/>
        <v>3837.5034178000001</v>
      </c>
      <c r="E978">
        <f t="shared" si="94"/>
        <v>0</v>
      </c>
      <c r="F978" s="2">
        <f t="shared" si="95"/>
        <v>0</v>
      </c>
      <c r="G978" s="2">
        <f t="shared" si="91"/>
        <v>5.5619980189119076</v>
      </c>
      <c r="H978" s="2">
        <f t="shared" si="92"/>
        <v>18.438393336420422</v>
      </c>
    </row>
    <row r="979" spans="1:8" x14ac:dyDescent="0.3">
      <c r="A979" s="1">
        <v>43529</v>
      </c>
      <c r="B979">
        <v>3896.375</v>
      </c>
      <c r="C979" s="2">
        <f t="shared" si="90"/>
        <v>3.5840973930878706E-2</v>
      </c>
      <c r="D979">
        <f t="shared" si="93"/>
        <v>3845.8213378</v>
      </c>
      <c r="E979">
        <f t="shared" si="94"/>
        <v>1</v>
      </c>
      <c r="F979" s="2">
        <f t="shared" si="95"/>
        <v>0</v>
      </c>
      <c r="G979" s="2">
        <f t="shared" si="91"/>
        <v>5.7613454449113286</v>
      </c>
      <c r="H979" s="2">
        <f t="shared" si="92"/>
        <v>18.438393336420422</v>
      </c>
    </row>
    <row r="980" spans="1:8" x14ac:dyDescent="0.3">
      <c r="A980" s="1">
        <v>43530</v>
      </c>
      <c r="B980">
        <v>3903.9426269999999</v>
      </c>
      <c r="C980" s="2">
        <f t="shared" si="90"/>
        <v>1.9422224503544694E-3</v>
      </c>
      <c r="D980">
        <f t="shared" si="93"/>
        <v>3854.6931151999997</v>
      </c>
      <c r="E980">
        <f t="shared" si="94"/>
        <v>1</v>
      </c>
      <c r="F980" s="2">
        <f t="shared" si="95"/>
        <v>1.9422224503544694E-3</v>
      </c>
      <c r="G980" s="2">
        <f t="shared" si="91"/>
        <v>5.7725352593786825</v>
      </c>
      <c r="H980" s="2">
        <f t="shared" si="92"/>
        <v>18.474204797906882</v>
      </c>
    </row>
    <row r="981" spans="1:8" x14ac:dyDescent="0.3">
      <c r="A981" s="1">
        <v>43531</v>
      </c>
      <c r="B981">
        <v>3911.484375</v>
      </c>
      <c r="C981" s="2">
        <f t="shared" si="90"/>
        <v>1.9318285949800895E-3</v>
      </c>
      <c r="D981">
        <f t="shared" si="93"/>
        <v>3864.1069823999997</v>
      </c>
      <c r="E981">
        <f t="shared" si="94"/>
        <v>1</v>
      </c>
      <c r="F981" s="2">
        <f t="shared" si="95"/>
        <v>1.9318285949800895E-3</v>
      </c>
      <c r="G981" s="2">
        <f t="shared" si="91"/>
        <v>5.7836868080582811</v>
      </c>
      <c r="H981" s="2">
        <f t="shared" si="92"/>
        <v>18.509893795004999</v>
      </c>
    </row>
    <row r="982" spans="1:8" x14ac:dyDescent="0.3">
      <c r="A982" s="1">
        <v>43532</v>
      </c>
      <c r="B982">
        <v>3901.1315920000002</v>
      </c>
      <c r="C982" s="2">
        <f t="shared" si="90"/>
        <v>-2.6467657818523005E-3</v>
      </c>
      <c r="D982">
        <f t="shared" si="93"/>
        <v>3874.8981445999998</v>
      </c>
      <c r="E982">
        <f t="shared" si="94"/>
        <v>1</v>
      </c>
      <c r="F982" s="2">
        <f t="shared" si="95"/>
        <v>-2.6467657818523005E-3</v>
      </c>
      <c r="G982" s="2">
        <f t="shared" si="91"/>
        <v>5.7683787437217617</v>
      </c>
      <c r="H982" s="2">
        <f t="shared" si="92"/>
        <v>18.460902441482659</v>
      </c>
    </row>
    <row r="983" spans="1:8" x14ac:dyDescent="0.3">
      <c r="A983" s="1">
        <v>43533</v>
      </c>
      <c r="B983">
        <v>3963.313721</v>
      </c>
      <c r="C983" s="2">
        <f t="shared" si="90"/>
        <v>1.5939510763368192E-2</v>
      </c>
      <c r="D983">
        <f t="shared" si="93"/>
        <v>3915.2494630000001</v>
      </c>
      <c r="E983">
        <f t="shared" si="94"/>
        <v>1</v>
      </c>
      <c r="F983" s="2">
        <f t="shared" si="95"/>
        <v>1.5939510763368192E-2</v>
      </c>
      <c r="G983" s="2">
        <f t="shared" si="91"/>
        <v>5.8603238787944987</v>
      </c>
      <c r="H983" s="2">
        <f t="shared" si="92"/>
        <v>18.755160194650163</v>
      </c>
    </row>
    <row r="984" spans="1:8" x14ac:dyDescent="0.3">
      <c r="A984" s="1">
        <v>43534</v>
      </c>
      <c r="B984">
        <v>3951.5998540000001</v>
      </c>
      <c r="C984" s="2">
        <f t="shared" si="90"/>
        <v>-2.9555740031208533E-3</v>
      </c>
      <c r="D984">
        <f t="shared" si="93"/>
        <v>3926.2944338000002</v>
      </c>
      <c r="E984">
        <f t="shared" si="94"/>
        <v>1</v>
      </c>
      <c r="F984" s="2">
        <f t="shared" si="95"/>
        <v>-2.9555740031208533E-3</v>
      </c>
      <c r="G984" s="2">
        <f t="shared" si="91"/>
        <v>5.8430032578884656</v>
      </c>
      <c r="H984" s="2">
        <f t="shared" si="92"/>
        <v>18.699727930754488</v>
      </c>
    </row>
    <row r="985" spans="1:8" x14ac:dyDescent="0.3">
      <c r="A985" s="1">
        <v>43535</v>
      </c>
      <c r="B985">
        <v>3905.2272950000001</v>
      </c>
      <c r="C985" s="2">
        <f t="shared" si="90"/>
        <v>-1.1735135315651846E-2</v>
      </c>
      <c r="D985">
        <f t="shared" si="93"/>
        <v>3926.5513674000003</v>
      </c>
      <c r="E985">
        <f t="shared" si="94"/>
        <v>0</v>
      </c>
      <c r="F985" s="2">
        <f t="shared" si="95"/>
        <v>-1.1735135315651846E-2</v>
      </c>
      <c r="G985" s="2">
        <f t="shared" si="91"/>
        <v>5.7744348240073498</v>
      </c>
      <c r="H985" s="2">
        <f t="shared" si="92"/>
        <v>18.48028409312121</v>
      </c>
    </row>
    <row r="986" spans="1:8" x14ac:dyDescent="0.3">
      <c r="A986" s="1">
        <v>43536</v>
      </c>
      <c r="B986">
        <v>3909.15625</v>
      </c>
      <c r="C986" s="2">
        <f t="shared" si="90"/>
        <v>1.0060758832219907E-3</v>
      </c>
      <c r="D986">
        <f t="shared" si="93"/>
        <v>3926.0857424000001</v>
      </c>
      <c r="E986">
        <f t="shared" si="94"/>
        <v>0</v>
      </c>
      <c r="F986" s="2">
        <f t="shared" si="95"/>
        <v>0</v>
      </c>
      <c r="G986" s="2">
        <f t="shared" si="91"/>
        <v>5.7802443436230204</v>
      </c>
      <c r="H986" s="2">
        <f t="shared" si="92"/>
        <v>18.48028409312121</v>
      </c>
    </row>
    <row r="987" spans="1:8" x14ac:dyDescent="0.3">
      <c r="A987" s="1">
        <v>43537</v>
      </c>
      <c r="B987">
        <v>3906.7172850000002</v>
      </c>
      <c r="C987" s="2">
        <f t="shared" si="90"/>
        <v>-6.2391085032731386E-4</v>
      </c>
      <c r="D987">
        <f t="shared" si="93"/>
        <v>3927.2028810000002</v>
      </c>
      <c r="E987">
        <f t="shared" si="94"/>
        <v>0</v>
      </c>
      <c r="F987" s="2">
        <f t="shared" si="95"/>
        <v>0</v>
      </c>
      <c r="G987" s="2">
        <f t="shared" si="91"/>
        <v>5.776637986459491</v>
      </c>
      <c r="H987" s="2">
        <f t="shared" si="92"/>
        <v>18.48028409312121</v>
      </c>
    </row>
    <row r="988" spans="1:8" x14ac:dyDescent="0.3">
      <c r="A988" s="1">
        <v>43538</v>
      </c>
      <c r="B988">
        <v>3924.3691410000001</v>
      </c>
      <c r="C988" s="2">
        <f t="shared" si="90"/>
        <v>4.5183346304005223E-3</v>
      </c>
      <c r="D988">
        <f t="shared" si="93"/>
        <v>3919.4139650000006</v>
      </c>
      <c r="E988">
        <f t="shared" si="94"/>
        <v>1</v>
      </c>
      <c r="F988" s="2">
        <f t="shared" si="95"/>
        <v>0</v>
      </c>
      <c r="G988" s="2">
        <f t="shared" si="91"/>
        <v>5.8027387699209978</v>
      </c>
      <c r="H988" s="2">
        <f t="shared" si="92"/>
        <v>18.48028409312121</v>
      </c>
    </row>
    <row r="989" spans="1:8" x14ac:dyDescent="0.3">
      <c r="A989" s="1">
        <v>43539</v>
      </c>
      <c r="B989">
        <v>3960.9111330000001</v>
      </c>
      <c r="C989" s="2">
        <f t="shared" si="90"/>
        <v>9.3115582879872427E-3</v>
      </c>
      <c r="D989">
        <f t="shared" si="93"/>
        <v>3921.2762208000008</v>
      </c>
      <c r="E989">
        <f t="shared" si="94"/>
        <v>1</v>
      </c>
      <c r="F989" s="2">
        <f t="shared" si="95"/>
        <v>9.3115582879872427E-3</v>
      </c>
      <c r="G989" s="2">
        <f t="shared" si="91"/>
        <v>5.8567713102070806</v>
      </c>
      <c r="H989" s="2">
        <f t="shared" si="92"/>
        <v>18.652364335632871</v>
      </c>
    </row>
    <row r="990" spans="1:8" x14ac:dyDescent="0.3">
      <c r="A990" s="1">
        <v>43540</v>
      </c>
      <c r="B990">
        <v>4048.7258299999999</v>
      </c>
      <c r="C990" s="2">
        <f t="shared" si="90"/>
        <v>2.2170327495706577E-2</v>
      </c>
      <c r="D990">
        <f t="shared" si="93"/>
        <v>3949.9759278000006</v>
      </c>
      <c r="E990">
        <f t="shared" si="94"/>
        <v>1</v>
      </c>
      <c r="F990" s="2">
        <f t="shared" si="95"/>
        <v>2.2170327495706577E-2</v>
      </c>
      <c r="G990" s="2">
        <f t="shared" si="91"/>
        <v>5.9866178482218304</v>
      </c>
      <c r="H990" s="2">
        <f t="shared" si="92"/>
        <v>19.065893361523088</v>
      </c>
    </row>
    <row r="991" spans="1:8" x14ac:dyDescent="0.3">
      <c r="A991" s="1">
        <v>43541</v>
      </c>
      <c r="B991">
        <v>4025.2290039999998</v>
      </c>
      <c r="C991" s="2">
        <f t="shared" si="90"/>
        <v>-5.8035112740641992E-3</v>
      </c>
      <c r="D991">
        <f t="shared" si="93"/>
        <v>3973.1904786</v>
      </c>
      <c r="E991">
        <f t="shared" si="94"/>
        <v>1</v>
      </c>
      <c r="F991" s="2">
        <f t="shared" si="95"/>
        <v>-5.8035112740641992E-3</v>
      </c>
      <c r="G991" s="2">
        <f t="shared" si="91"/>
        <v>5.9518744440461608</v>
      </c>
      <c r="H991" s="2">
        <f t="shared" si="92"/>
        <v>18.955244234449381</v>
      </c>
    </row>
    <row r="992" spans="1:8" x14ac:dyDescent="0.3">
      <c r="A992" s="1">
        <v>43542</v>
      </c>
      <c r="B992">
        <v>4032.5073240000002</v>
      </c>
      <c r="C992" s="2">
        <f t="shared" si="90"/>
        <v>1.8081753840011316E-3</v>
      </c>
      <c r="D992">
        <f t="shared" si="93"/>
        <v>3998.3484863999997</v>
      </c>
      <c r="E992">
        <f t="shared" si="94"/>
        <v>1</v>
      </c>
      <c r="F992" s="2">
        <f t="shared" si="95"/>
        <v>1.8081753840011316E-3</v>
      </c>
      <c r="G992" s="2">
        <f t="shared" si="91"/>
        <v>5.9626364769045503</v>
      </c>
      <c r="H992" s="2">
        <f t="shared" si="92"/>
        <v>18.989518640471843</v>
      </c>
    </row>
    <row r="993" spans="1:8" x14ac:dyDescent="0.3">
      <c r="A993" s="1">
        <v>43543</v>
      </c>
      <c r="B993">
        <v>4071.1901859999998</v>
      </c>
      <c r="C993" s="2">
        <f t="shared" si="90"/>
        <v>9.5927567867697405E-3</v>
      </c>
      <c r="D993">
        <f t="shared" si="93"/>
        <v>4027.7126954</v>
      </c>
      <c r="E993">
        <f t="shared" si="94"/>
        <v>1</v>
      </c>
      <c r="F993" s="2">
        <f t="shared" si="95"/>
        <v>9.5927567867697405E-3</v>
      </c>
      <c r="G993" s="2">
        <f t="shared" si="91"/>
        <v>6.0198345984354171</v>
      </c>
      <c r="H993" s="2">
        <f t="shared" si="92"/>
        <v>19.171680474287719</v>
      </c>
    </row>
    <row r="994" spans="1:8" x14ac:dyDescent="0.3">
      <c r="A994" s="1">
        <v>43544</v>
      </c>
      <c r="B994">
        <v>4087.476318</v>
      </c>
      <c r="C994" s="2">
        <f t="shared" si="90"/>
        <v>4.0003368194403421E-3</v>
      </c>
      <c r="D994">
        <f t="shared" si="93"/>
        <v>4053.0257323999999</v>
      </c>
      <c r="E994">
        <f t="shared" si="94"/>
        <v>1</v>
      </c>
      <c r="F994" s="2">
        <f t="shared" si="95"/>
        <v>4.0003368194403421E-3</v>
      </c>
      <c r="G994" s="2">
        <f t="shared" si="91"/>
        <v>6.0439159644264793</v>
      </c>
      <c r="H994" s="2">
        <f t="shared" si="92"/>
        <v>19.248373653579556</v>
      </c>
    </row>
    <row r="995" spans="1:8" x14ac:dyDescent="0.3">
      <c r="A995" s="1">
        <v>43545</v>
      </c>
      <c r="B995">
        <v>4029.326904</v>
      </c>
      <c r="C995" s="2">
        <f t="shared" si="90"/>
        <v>-1.4226238753709097E-2</v>
      </c>
      <c r="D995">
        <f t="shared" si="93"/>
        <v>4049.1459472000001</v>
      </c>
      <c r="E995">
        <f t="shared" si="94"/>
        <v>0</v>
      </c>
      <c r="F995" s="2">
        <f t="shared" si="95"/>
        <v>-1.4226238753709097E-2</v>
      </c>
      <c r="G995" s="2">
        <f t="shared" si="91"/>
        <v>5.9579337729091941</v>
      </c>
      <c r="H995" s="2">
        <f t="shared" si="92"/>
        <v>18.974541694363129</v>
      </c>
    </row>
    <row r="996" spans="1:8" x14ac:dyDescent="0.3">
      <c r="A996" s="1">
        <v>43546</v>
      </c>
      <c r="B996">
        <v>4023.9682619999999</v>
      </c>
      <c r="C996" s="2">
        <f t="shared" si="90"/>
        <v>-1.329909964535414E-3</v>
      </c>
      <c r="D996">
        <f t="shared" si="93"/>
        <v>4048.8937987999998</v>
      </c>
      <c r="E996">
        <f t="shared" si="94"/>
        <v>0</v>
      </c>
      <c r="F996" s="2">
        <f t="shared" si="95"/>
        <v>0</v>
      </c>
      <c r="G996" s="2">
        <f t="shared" si="91"/>
        <v>5.9500102574165599</v>
      </c>
      <c r="H996" s="2">
        <f t="shared" si="92"/>
        <v>18.974541694363129</v>
      </c>
    </row>
    <row r="997" spans="1:8" x14ac:dyDescent="0.3">
      <c r="A997" s="1">
        <v>43547</v>
      </c>
      <c r="B997">
        <v>4035.8264159999999</v>
      </c>
      <c r="C997" s="2">
        <f t="shared" si="90"/>
        <v>2.946880598433621E-3</v>
      </c>
      <c r="D997">
        <f t="shared" si="93"/>
        <v>4049.5576172000001</v>
      </c>
      <c r="E997">
        <f t="shared" si="94"/>
        <v>0</v>
      </c>
      <c r="F997" s="2">
        <f t="shared" si="95"/>
        <v>0</v>
      </c>
      <c r="G997" s="2">
        <f t="shared" si="91"/>
        <v>5.9675442272046215</v>
      </c>
      <c r="H997" s="2">
        <f t="shared" si="92"/>
        <v>18.974541694363129</v>
      </c>
    </row>
    <row r="998" spans="1:8" x14ac:dyDescent="0.3">
      <c r="A998" s="1">
        <v>43548</v>
      </c>
      <c r="B998">
        <v>4022.1682129999999</v>
      </c>
      <c r="C998" s="2">
        <f t="shared" si="90"/>
        <v>-3.3842394573394552E-3</v>
      </c>
      <c r="D998">
        <f t="shared" si="93"/>
        <v>4039.7532226000003</v>
      </c>
      <c r="E998">
        <f t="shared" si="94"/>
        <v>0</v>
      </c>
      <c r="F998" s="2">
        <f t="shared" si="95"/>
        <v>0</v>
      </c>
      <c r="G998" s="2">
        <f t="shared" si="91"/>
        <v>5.9473486285674975</v>
      </c>
      <c r="H998" s="2">
        <f t="shared" si="92"/>
        <v>18.974541694363129</v>
      </c>
    </row>
    <row r="999" spans="1:8" x14ac:dyDescent="0.3">
      <c r="A999" s="1">
        <v>43549</v>
      </c>
      <c r="B999">
        <v>3963.070557</v>
      </c>
      <c r="C999" s="2">
        <f t="shared" si="90"/>
        <v>-1.4692984696411004E-2</v>
      </c>
      <c r="D999">
        <f t="shared" si="93"/>
        <v>4014.8720703999998</v>
      </c>
      <c r="E999">
        <f t="shared" si="94"/>
        <v>0</v>
      </c>
      <c r="F999" s="2">
        <f t="shared" si="95"/>
        <v>0</v>
      </c>
      <c r="G999" s="2">
        <f t="shared" si="91"/>
        <v>5.859964326183734</v>
      </c>
      <c r="H999" s="2">
        <f t="shared" si="92"/>
        <v>18.974541694363129</v>
      </c>
    </row>
    <row r="1000" spans="1:8" x14ac:dyDescent="0.3">
      <c r="A1000" s="1">
        <v>43550</v>
      </c>
      <c r="B1000">
        <v>3985.0808109999998</v>
      </c>
      <c r="C1000" s="2">
        <f t="shared" si="90"/>
        <v>5.5538385409572566E-3</v>
      </c>
      <c r="D1000">
        <f t="shared" si="93"/>
        <v>4006.0228517999994</v>
      </c>
      <c r="E1000">
        <f t="shared" si="94"/>
        <v>0</v>
      </c>
      <c r="F1000" s="2">
        <f t="shared" si="95"/>
        <v>0</v>
      </c>
      <c r="G1000" s="2">
        <f t="shared" si="91"/>
        <v>5.892509621907128</v>
      </c>
      <c r="H1000" s="2">
        <f t="shared" si="92"/>
        <v>18.974541694363129</v>
      </c>
    </row>
    <row r="1001" spans="1:8" x14ac:dyDescent="0.3">
      <c r="A1001" s="1">
        <v>43551</v>
      </c>
      <c r="B1001">
        <v>4087.0661620000001</v>
      </c>
      <c r="C1001" s="2">
        <f t="shared" si="90"/>
        <v>2.5591789937732479E-2</v>
      </c>
      <c r="D1001">
        <f t="shared" si="93"/>
        <v>4018.6424317999999</v>
      </c>
      <c r="E1001">
        <f t="shared" si="94"/>
        <v>1</v>
      </c>
      <c r="F1001" s="2">
        <f t="shared" si="95"/>
        <v>0</v>
      </c>
      <c r="G1001" s="2">
        <f t="shared" si="91"/>
        <v>6.0433094903570428</v>
      </c>
      <c r="H1001" s="2">
        <f t="shared" si="92"/>
        <v>18.974541694363129</v>
      </c>
    </row>
    <row r="1002" spans="1:8" x14ac:dyDescent="0.3">
      <c r="A1002" s="1">
        <v>43552</v>
      </c>
      <c r="B1002">
        <v>4069.1071780000002</v>
      </c>
      <c r="C1002" s="2">
        <f t="shared" si="90"/>
        <v>-4.3941016093587137E-3</v>
      </c>
      <c r="D1002">
        <f t="shared" si="93"/>
        <v>4025.2985841999994</v>
      </c>
      <c r="E1002">
        <f t="shared" si="94"/>
        <v>1</v>
      </c>
      <c r="F1002" s="2">
        <f t="shared" si="95"/>
        <v>-4.3941016093587137E-3</v>
      </c>
      <c r="G1002" s="2">
        <f t="shared" si="91"/>
        <v>6.016754574399612</v>
      </c>
      <c r="H1002" s="2">
        <f t="shared" si="92"/>
        <v>18.891165630167084</v>
      </c>
    </row>
    <row r="1003" spans="1:8" x14ac:dyDescent="0.3">
      <c r="A1003" s="1">
        <v>43553</v>
      </c>
      <c r="B1003">
        <v>4098.3745120000003</v>
      </c>
      <c r="C1003" s="2">
        <f t="shared" si="90"/>
        <v>7.1925689640806034E-3</v>
      </c>
      <c r="D1003">
        <f t="shared" si="93"/>
        <v>4040.5398440000004</v>
      </c>
      <c r="E1003">
        <f t="shared" si="94"/>
        <v>1</v>
      </c>
      <c r="F1003" s="2">
        <f t="shared" si="95"/>
        <v>7.1925689640806034E-3</v>
      </c>
      <c r="G1003" s="2">
        <f t="shared" si="91"/>
        <v>6.0600304966159291</v>
      </c>
      <c r="H1003" s="2">
        <f t="shared" si="92"/>
        <v>19.027041641773931</v>
      </c>
    </row>
    <row r="1004" spans="1:8" x14ac:dyDescent="0.3">
      <c r="A1004" s="1">
        <v>43554</v>
      </c>
      <c r="B1004">
        <v>4106.6601559999999</v>
      </c>
      <c r="C1004" s="2">
        <f t="shared" si="90"/>
        <v>2.0216903008105636E-3</v>
      </c>
      <c r="D1004">
        <f t="shared" si="93"/>
        <v>4069.2577638000002</v>
      </c>
      <c r="E1004">
        <f t="shared" si="94"/>
        <v>1</v>
      </c>
      <c r="F1004" s="2">
        <f t="shared" si="95"/>
        <v>2.0216903008105636E-3</v>
      </c>
      <c r="G1004" s="2">
        <f t="shared" si="91"/>
        <v>6.0722820014935541</v>
      </c>
      <c r="H1004" s="2">
        <f t="shared" si="92"/>
        <v>19.065508427314224</v>
      </c>
    </row>
    <row r="1005" spans="1:8" x14ac:dyDescent="0.3">
      <c r="A1005" s="1">
        <v>43555</v>
      </c>
      <c r="B1005">
        <v>4105.404297</v>
      </c>
      <c r="C1005" s="2">
        <f t="shared" si="90"/>
        <v>-3.0581030625698169E-4</v>
      </c>
      <c r="D1005">
        <f t="shared" si="93"/>
        <v>4093.3224609999997</v>
      </c>
      <c r="E1005">
        <f t="shared" si="94"/>
        <v>1</v>
      </c>
      <c r="F1005" s="2">
        <f t="shared" si="95"/>
        <v>-3.0581030625698169E-4</v>
      </c>
      <c r="G1005" s="2">
        <f t="shared" si="91"/>
        <v>6.0704250350749982</v>
      </c>
      <c r="H1005" s="2">
        <f t="shared" si="92"/>
        <v>19.059677998343123</v>
      </c>
    </row>
    <row r="1006" spans="1:8" x14ac:dyDescent="0.3">
      <c r="A1006" s="1">
        <v>43556</v>
      </c>
      <c r="B1006">
        <v>4158.1831050000001</v>
      </c>
      <c r="C1006" s="2">
        <f t="shared" si="90"/>
        <v>1.2855934320175955E-2</v>
      </c>
      <c r="D1006">
        <f t="shared" si="93"/>
        <v>4107.5458496000001</v>
      </c>
      <c r="E1006">
        <f t="shared" si="94"/>
        <v>1</v>
      </c>
      <c r="F1006" s="2">
        <f t="shared" si="95"/>
        <v>1.2855934320175955E-2</v>
      </c>
      <c r="G1006" s="2">
        <f t="shared" si="91"/>
        <v>6.1484660206214743</v>
      </c>
      <c r="H1006" s="2">
        <f t="shared" si="92"/>
        <v>19.304707966853524</v>
      </c>
    </row>
    <row r="1007" spans="1:8" x14ac:dyDescent="0.3">
      <c r="A1007" s="1">
        <v>43557</v>
      </c>
      <c r="B1007">
        <v>4879.8779299999997</v>
      </c>
      <c r="C1007" s="2">
        <f t="shared" si="90"/>
        <v>0.17356013594788533</v>
      </c>
      <c r="D1007">
        <f t="shared" si="93"/>
        <v>4269.7</v>
      </c>
      <c r="E1007">
        <f t="shared" si="94"/>
        <v>1</v>
      </c>
      <c r="F1007" s="2">
        <f t="shared" si="95"/>
        <v>0.17356013594788533</v>
      </c>
      <c r="G1007" s="2">
        <f t="shared" si="91"/>
        <v>7.2155946190314912</v>
      </c>
      <c r="H1007" s="2">
        <f t="shared" si="92"/>
        <v>22.655235706014846</v>
      </c>
    </row>
    <row r="1008" spans="1:8" x14ac:dyDescent="0.3">
      <c r="A1008" s="1">
        <v>43558</v>
      </c>
      <c r="B1008">
        <v>4973.0219729999999</v>
      </c>
      <c r="C1008" s="2">
        <f t="shared" si="90"/>
        <v>1.9087371515459139E-2</v>
      </c>
      <c r="D1008">
        <f t="shared" si="93"/>
        <v>4444.6294921999997</v>
      </c>
      <c r="E1008">
        <f t="shared" si="94"/>
        <v>1</v>
      </c>
      <c r="F1008" s="2">
        <f t="shared" si="95"/>
        <v>1.9087371515459139E-2</v>
      </c>
      <c r="G1008" s="2">
        <f t="shared" si="91"/>
        <v>7.3533213542298927</v>
      </c>
      <c r="H1008" s="2">
        <f t="shared" si="92"/>
        <v>23.087664606705847</v>
      </c>
    </row>
    <row r="1009" spans="1:8" x14ac:dyDescent="0.3">
      <c r="A1009" s="1">
        <v>43559</v>
      </c>
      <c r="B1009">
        <v>4922.798828</v>
      </c>
      <c r="C1009" s="2">
        <f t="shared" si="90"/>
        <v>-1.009911986568246E-2</v>
      </c>
      <c r="D1009">
        <f t="shared" si="93"/>
        <v>4607.8572265999992</v>
      </c>
      <c r="E1009">
        <f t="shared" si="94"/>
        <v>1</v>
      </c>
      <c r="F1009" s="2">
        <f t="shared" si="95"/>
        <v>-1.009911986568246E-2</v>
      </c>
      <c r="G1009" s="2">
        <f t="shared" si="91"/>
        <v>7.2790592804626426</v>
      </c>
      <c r="H1009" s="2">
        <f t="shared" si="92"/>
        <v>22.854499514424049</v>
      </c>
    </row>
    <row r="1010" spans="1:8" x14ac:dyDescent="0.3">
      <c r="A1010" s="1">
        <v>43560</v>
      </c>
      <c r="B1010">
        <v>5036.6811520000001</v>
      </c>
      <c r="C1010" s="2">
        <f t="shared" si="90"/>
        <v>2.3133653837783763E-2</v>
      </c>
      <c r="D1010">
        <f t="shared" si="93"/>
        <v>4794.1125975999994</v>
      </c>
      <c r="E1010">
        <f t="shared" si="94"/>
        <v>1</v>
      </c>
      <c r="F1010" s="2">
        <f t="shared" si="95"/>
        <v>2.3133653837783763E-2</v>
      </c>
      <c r="G1010" s="2">
        <f t="shared" si="91"/>
        <v>7.4474505181215731</v>
      </c>
      <c r="H1010" s="2">
        <f t="shared" si="92"/>
        <v>23.383207594826533</v>
      </c>
    </row>
    <row r="1011" spans="1:8" x14ac:dyDescent="0.3">
      <c r="A1011" s="1">
        <v>43561</v>
      </c>
      <c r="B1011">
        <v>5059.8173829999996</v>
      </c>
      <c r="C1011" s="2">
        <f t="shared" si="90"/>
        <v>4.5935468817224212E-3</v>
      </c>
      <c r="D1011">
        <f t="shared" si="93"/>
        <v>4974.4394532000006</v>
      </c>
      <c r="E1011">
        <f t="shared" si="94"/>
        <v>1</v>
      </c>
      <c r="F1011" s="2">
        <f t="shared" si="95"/>
        <v>4.5935468817224212E-3</v>
      </c>
      <c r="G1011" s="2">
        <f t="shared" si="91"/>
        <v>7.4816607312258725</v>
      </c>
      <c r="H1011" s="2">
        <f t="shared" si="92"/>
        <v>23.490619455158416</v>
      </c>
    </row>
    <row r="1012" spans="1:8" x14ac:dyDescent="0.3">
      <c r="A1012" s="1">
        <v>43562</v>
      </c>
      <c r="B1012">
        <v>5198.8969729999999</v>
      </c>
      <c r="C1012" s="2">
        <f t="shared" si="90"/>
        <v>2.7487076997537718E-2</v>
      </c>
      <c r="D1012">
        <f t="shared" si="93"/>
        <v>5038.2432618000003</v>
      </c>
      <c r="E1012">
        <f t="shared" si="94"/>
        <v>1</v>
      </c>
      <c r="F1012" s="2">
        <f t="shared" si="95"/>
        <v>2.7487076997537718E-2</v>
      </c>
      <c r="G1012" s="2">
        <f t="shared" si="91"/>
        <v>7.687309715814532</v>
      </c>
      <c r="H1012" s="2">
        <f t="shared" si="92"/>
        <v>24.136307920842214</v>
      </c>
    </row>
    <row r="1013" spans="1:8" x14ac:dyDescent="0.3">
      <c r="A1013" s="1">
        <v>43563</v>
      </c>
      <c r="B1013">
        <v>5289.7709960000002</v>
      </c>
      <c r="C1013" s="2">
        <f t="shared" si="90"/>
        <v>1.7479481411527553E-2</v>
      </c>
      <c r="D1013">
        <f t="shared" si="93"/>
        <v>5101.5930663999998</v>
      </c>
      <c r="E1013">
        <f t="shared" si="94"/>
        <v>1</v>
      </c>
      <c r="F1013" s="2">
        <f t="shared" si="95"/>
        <v>1.7479481411527553E-2</v>
      </c>
      <c r="G1013" s="2">
        <f t="shared" si="91"/>
        <v>7.8216799030967676</v>
      </c>
      <c r="H1013" s="2">
        <f t="shared" si="92"/>
        <v>24.558198066487481</v>
      </c>
    </row>
    <row r="1014" spans="1:8" x14ac:dyDescent="0.3">
      <c r="A1014" s="1">
        <v>43564</v>
      </c>
      <c r="B1014">
        <v>5204.9584960000002</v>
      </c>
      <c r="C1014" s="2">
        <f t="shared" si="90"/>
        <v>-1.6033302777026304E-2</v>
      </c>
      <c r="D1014">
        <f t="shared" si="93"/>
        <v>5158.0249999999996</v>
      </c>
      <c r="E1014">
        <f t="shared" si="94"/>
        <v>1</v>
      </c>
      <c r="F1014" s="2">
        <f t="shared" si="95"/>
        <v>-1.6033302777026304E-2</v>
      </c>
      <c r="G1014" s="2">
        <f t="shared" si="91"/>
        <v>7.6962725409854356</v>
      </c>
      <c r="H1014" s="2">
        <f t="shared" si="92"/>
        <v>24.164449041229304</v>
      </c>
    </row>
    <row r="1015" spans="1:8" x14ac:dyDescent="0.3">
      <c r="A1015" s="1">
        <v>43565</v>
      </c>
      <c r="B1015">
        <v>5324.5517579999996</v>
      </c>
      <c r="C1015" s="2">
        <f t="shared" si="90"/>
        <v>2.2976794549256496E-2</v>
      </c>
      <c r="D1015">
        <f t="shared" si="93"/>
        <v>5215.599121199999</v>
      </c>
      <c r="E1015">
        <f t="shared" si="94"/>
        <v>1</v>
      </c>
      <c r="F1015" s="2">
        <f t="shared" si="95"/>
        <v>2.2976794549256496E-2</v>
      </c>
      <c r="G1015" s="2">
        <f t="shared" si="91"/>
        <v>7.8731082139547421</v>
      </c>
      <c r="H1015" s="2">
        <f t="shared" si="92"/>
        <v>24.719670622245609</v>
      </c>
    </row>
    <row r="1016" spans="1:8" x14ac:dyDescent="0.3">
      <c r="A1016" s="1">
        <v>43566</v>
      </c>
      <c r="B1016">
        <v>5064.4877930000002</v>
      </c>
      <c r="C1016" s="2">
        <f t="shared" si="90"/>
        <v>-4.8842414689510782E-2</v>
      </c>
      <c r="D1016">
        <f t="shared" si="93"/>
        <v>5216.5332032000006</v>
      </c>
      <c r="E1016">
        <f t="shared" si="94"/>
        <v>0</v>
      </c>
      <c r="F1016" s="2">
        <f t="shared" si="95"/>
        <v>-4.8842414689510782E-2</v>
      </c>
      <c r="G1016" s="2">
        <f t="shared" si="91"/>
        <v>7.4885665976733709</v>
      </c>
      <c r="H1016" s="2">
        <f t="shared" si="92"/>
        <v>23.512302218725772</v>
      </c>
    </row>
    <row r="1017" spans="1:8" x14ac:dyDescent="0.3">
      <c r="A1017" s="1">
        <v>43567</v>
      </c>
      <c r="B1017">
        <v>5089.5390630000002</v>
      </c>
      <c r="C1017" s="2">
        <f t="shared" si="90"/>
        <v>4.9464567837689266E-3</v>
      </c>
      <c r="D1017">
        <f t="shared" si="93"/>
        <v>5194.6616211999999</v>
      </c>
      <c r="E1017">
        <f t="shared" si="94"/>
        <v>0</v>
      </c>
      <c r="F1017" s="2">
        <f t="shared" si="95"/>
        <v>0</v>
      </c>
      <c r="G1017" s="2">
        <f t="shared" si="91"/>
        <v>7.5256084687211375</v>
      </c>
      <c r="H1017" s="2">
        <f t="shared" si="92"/>
        <v>23.512302218725772</v>
      </c>
    </row>
    <row r="1018" spans="1:8" x14ac:dyDescent="0.3">
      <c r="A1018" s="1">
        <v>43568</v>
      </c>
      <c r="B1018">
        <v>5096.5864259999998</v>
      </c>
      <c r="C1018" s="2">
        <f t="shared" si="90"/>
        <v>1.3846760802431746E-3</v>
      </c>
      <c r="D1018">
        <f t="shared" si="93"/>
        <v>5156.0247072000002</v>
      </c>
      <c r="E1018">
        <f t="shared" si="94"/>
        <v>0</v>
      </c>
      <c r="F1018" s="2">
        <f t="shared" si="95"/>
        <v>0</v>
      </c>
      <c r="G1018" s="2">
        <f t="shared" si="91"/>
        <v>7.5360289987570512</v>
      </c>
      <c r="H1018" s="2">
        <f t="shared" si="92"/>
        <v>23.512302218725772</v>
      </c>
    </row>
    <row r="1019" spans="1:8" x14ac:dyDescent="0.3">
      <c r="A1019" s="1">
        <v>43569</v>
      </c>
      <c r="B1019">
        <v>5167.7221680000002</v>
      </c>
      <c r="C1019" s="2">
        <f t="shared" si="90"/>
        <v>1.3957526872713233E-2</v>
      </c>
      <c r="D1019">
        <f t="shared" si="93"/>
        <v>5148.5774416000004</v>
      </c>
      <c r="E1019">
        <f t="shared" si="94"/>
        <v>1</v>
      </c>
      <c r="F1019" s="2">
        <f t="shared" si="95"/>
        <v>0</v>
      </c>
      <c r="G1019" s="2">
        <f t="shared" si="91"/>
        <v>7.6412133260207487</v>
      </c>
      <c r="H1019" s="2">
        <f t="shared" si="92"/>
        <v>23.512302218725772</v>
      </c>
    </row>
    <row r="1020" spans="1:8" x14ac:dyDescent="0.3">
      <c r="A1020" s="1">
        <v>43570</v>
      </c>
      <c r="B1020">
        <v>5067.1083980000003</v>
      </c>
      <c r="C1020" s="2">
        <f t="shared" si="90"/>
        <v>-1.9469655436011757E-2</v>
      </c>
      <c r="D1020">
        <f t="shared" si="93"/>
        <v>5097.0887696</v>
      </c>
      <c r="E1020">
        <f t="shared" si="94"/>
        <v>0</v>
      </c>
      <c r="F1020" s="2">
        <f t="shared" si="95"/>
        <v>-1.9469655436011757E-2</v>
      </c>
      <c r="G1020" s="2">
        <f t="shared" si="91"/>
        <v>7.4924415354500633</v>
      </c>
      <c r="H1020" s="2">
        <f t="shared" si="92"/>
        <v>23.054525796019806</v>
      </c>
    </row>
    <row r="1021" spans="1:8" x14ac:dyDescent="0.3">
      <c r="A1021" s="1">
        <v>43571</v>
      </c>
      <c r="B1021">
        <v>5235.5595700000003</v>
      </c>
      <c r="C1021" s="2">
        <f t="shared" si="90"/>
        <v>3.3244043499540687E-2</v>
      </c>
      <c r="D1021">
        <f t="shared" si="93"/>
        <v>5131.3031250000004</v>
      </c>
      <c r="E1021">
        <f t="shared" si="94"/>
        <v>1</v>
      </c>
      <c r="F1021" s="2">
        <f t="shared" si="95"/>
        <v>0</v>
      </c>
      <c r="G1021" s="2">
        <f t="shared" si="91"/>
        <v>7.7415205877723308</v>
      </c>
      <c r="H1021" s="2">
        <f t="shared" si="92"/>
        <v>23.054525796019806</v>
      </c>
    </row>
    <row r="1022" spans="1:8" x14ac:dyDescent="0.3">
      <c r="A1022" s="1">
        <v>43572</v>
      </c>
      <c r="B1022">
        <v>5251.9379879999997</v>
      </c>
      <c r="C1022" s="2">
        <f t="shared" si="90"/>
        <v>3.1283032464854976E-3</v>
      </c>
      <c r="D1022">
        <f t="shared" si="93"/>
        <v>5163.7829099999999</v>
      </c>
      <c r="E1022">
        <f t="shared" si="94"/>
        <v>1</v>
      </c>
      <c r="F1022" s="2">
        <f t="shared" si="95"/>
        <v>3.1283032464854976E-3</v>
      </c>
      <c r="G1022" s="2">
        <f t="shared" si="91"/>
        <v>7.7657384117597932</v>
      </c>
      <c r="H1022" s="2">
        <f t="shared" si="92"/>
        <v>23.126647343913678</v>
      </c>
    </row>
    <row r="1023" spans="1:8" x14ac:dyDescent="0.3">
      <c r="A1023" s="1">
        <v>43573</v>
      </c>
      <c r="B1023">
        <v>5298.3857420000004</v>
      </c>
      <c r="C1023" s="2">
        <f t="shared" si="90"/>
        <v>8.843926585981654E-3</v>
      </c>
      <c r="D1023">
        <f t="shared" si="93"/>
        <v>5204.1427731999993</v>
      </c>
      <c r="E1023">
        <f t="shared" si="94"/>
        <v>1</v>
      </c>
      <c r="F1023" s="2">
        <f t="shared" si="95"/>
        <v>8.843926585981654E-3</v>
      </c>
      <c r="G1023" s="2">
        <f t="shared" si="91"/>
        <v>7.8344180321593342</v>
      </c>
      <c r="H1023" s="2">
        <f t="shared" si="92"/>
        <v>23.33117771520314</v>
      </c>
    </row>
    <row r="1024" spans="1:8" x14ac:dyDescent="0.3">
      <c r="A1024" s="1">
        <v>43574</v>
      </c>
      <c r="B1024">
        <v>5303.8125</v>
      </c>
      <c r="C1024" s="2">
        <f t="shared" si="90"/>
        <v>1.0242285602164447E-3</v>
      </c>
      <c r="D1024">
        <f t="shared" si="93"/>
        <v>5231.3608396</v>
      </c>
      <c r="E1024">
        <f t="shared" si="94"/>
        <v>1</v>
      </c>
      <c r="F1024" s="2">
        <f t="shared" si="95"/>
        <v>1.0242285602164447E-3</v>
      </c>
      <c r="G1024" s="2">
        <f t="shared" si="91"/>
        <v>7.8424422668605462</v>
      </c>
      <c r="H1024" s="2">
        <f t="shared" si="92"/>
        <v>23.355074173762535</v>
      </c>
    </row>
    <row r="1025" spans="1:8" x14ac:dyDescent="0.3">
      <c r="A1025" s="1">
        <v>43575</v>
      </c>
      <c r="B1025">
        <v>5337.8862300000001</v>
      </c>
      <c r="C1025" s="2">
        <f t="shared" si="90"/>
        <v>6.42438434616599E-3</v>
      </c>
      <c r="D1025">
        <f t="shared" si="93"/>
        <v>5285.5164060000006</v>
      </c>
      <c r="E1025">
        <f t="shared" si="94"/>
        <v>1</v>
      </c>
      <c r="F1025" s="2">
        <f t="shared" si="95"/>
        <v>6.42438434616599E-3</v>
      </c>
      <c r="G1025" s="2">
        <f t="shared" si="91"/>
        <v>7.8928251301954759</v>
      </c>
      <c r="H1025" s="2">
        <f t="shared" si="92"/>
        <v>23.505116146688</v>
      </c>
    </row>
    <row r="1026" spans="1:8" x14ac:dyDescent="0.3">
      <c r="A1026" s="1">
        <v>43576</v>
      </c>
      <c r="B1026">
        <v>5314.53125</v>
      </c>
      <c r="C1026" s="2">
        <f t="shared" si="90"/>
        <v>-4.3753236756415292E-3</v>
      </c>
      <c r="D1026">
        <f t="shared" si="93"/>
        <v>5301.3107419999997</v>
      </c>
      <c r="E1026">
        <f t="shared" si="94"/>
        <v>1</v>
      </c>
      <c r="F1026" s="2">
        <f t="shared" si="95"/>
        <v>-4.3753236756415292E-3</v>
      </c>
      <c r="G1026" s="2">
        <f t="shared" si="91"/>
        <v>7.8582914655356335</v>
      </c>
      <c r="H1026" s="2">
        <f t="shared" si="92"/>
        <v>23.40227365551269</v>
      </c>
    </row>
    <row r="1027" spans="1:8" x14ac:dyDescent="0.3">
      <c r="A1027" s="1">
        <v>43577</v>
      </c>
      <c r="B1027">
        <v>5399.3652339999999</v>
      </c>
      <c r="C1027" s="2">
        <f t="shared" si="90"/>
        <v>1.5962646564548821E-2</v>
      </c>
      <c r="D1027">
        <f t="shared" si="93"/>
        <v>5330.796191200001</v>
      </c>
      <c r="E1027">
        <f t="shared" si="94"/>
        <v>1</v>
      </c>
      <c r="F1027" s="2">
        <f t="shared" si="95"/>
        <v>1.5962646564548821E-2</v>
      </c>
      <c r="G1027" s="2">
        <f t="shared" si="91"/>
        <v>7.9837305948011892</v>
      </c>
      <c r="H1027" s="2">
        <f t="shared" si="92"/>
        <v>23.775835878682493</v>
      </c>
    </row>
    <row r="1028" spans="1:8" x14ac:dyDescent="0.3">
      <c r="A1028" s="1">
        <v>43578</v>
      </c>
      <c r="B1028">
        <v>5572.3623049999997</v>
      </c>
      <c r="C1028" s="2">
        <f t="shared" ref="C1028:C1091" si="96">B1028/B1027-1</f>
        <v>3.2040260938569487E-2</v>
      </c>
      <c r="D1028">
        <f t="shared" si="93"/>
        <v>5385.5915038000003</v>
      </c>
      <c r="E1028">
        <f t="shared" si="94"/>
        <v>1</v>
      </c>
      <c r="F1028" s="2">
        <f t="shared" si="95"/>
        <v>3.2040260938569487E-2</v>
      </c>
      <c r="G1028" s="2">
        <f t="shared" ref="G1028:G1091" si="97">(1+C1028)*G1027</f>
        <v>8.2395314063218592</v>
      </c>
      <c r="H1028" s="2">
        <f t="shared" ref="H1028:H1091" si="98">(1+F1028)*H1027</f>
        <v>24.537619864268084</v>
      </c>
    </row>
    <row r="1029" spans="1:8" x14ac:dyDescent="0.3">
      <c r="A1029" s="1">
        <v>43579</v>
      </c>
      <c r="B1029">
        <v>5464.8666990000002</v>
      </c>
      <c r="C1029" s="2">
        <f t="shared" si="96"/>
        <v>-1.9290850112804958E-2</v>
      </c>
      <c r="D1029">
        <f t="shared" si="93"/>
        <v>5417.8023436000003</v>
      </c>
      <c r="E1029">
        <f t="shared" si="94"/>
        <v>1</v>
      </c>
      <c r="F1029" s="2">
        <f t="shared" si="95"/>
        <v>-1.9290850112804958E-2</v>
      </c>
      <c r="G1029" s="2">
        <f t="shared" si="97"/>
        <v>8.0805838409627544</v>
      </c>
      <c r="H1029" s="2">
        <f t="shared" si="98"/>
        <v>24.064268317341504</v>
      </c>
    </row>
    <row r="1030" spans="1:8" x14ac:dyDescent="0.3">
      <c r="A1030" s="1">
        <v>43580</v>
      </c>
      <c r="B1030">
        <v>5210.515625</v>
      </c>
      <c r="C1030" s="2">
        <f t="shared" si="96"/>
        <v>-4.6542960333605832E-2</v>
      </c>
      <c r="D1030">
        <f t="shared" si="93"/>
        <v>5392.3282225999992</v>
      </c>
      <c r="E1030">
        <f t="shared" si="94"/>
        <v>0</v>
      </c>
      <c r="F1030" s="2">
        <f t="shared" si="95"/>
        <v>-4.6542960333605832E-2</v>
      </c>
      <c r="G1030" s="2">
        <f t="shared" si="97"/>
        <v>7.7044895477804483</v>
      </c>
      <c r="H1030" s="2">
        <f t="shared" si="98"/>
        <v>22.944246031590232</v>
      </c>
    </row>
    <row r="1031" spans="1:8" x14ac:dyDescent="0.3">
      <c r="A1031" s="1">
        <v>43581</v>
      </c>
      <c r="B1031">
        <v>5279.3481449999999</v>
      </c>
      <c r="C1031" s="2">
        <f t="shared" si="96"/>
        <v>1.3210308720646102E-2</v>
      </c>
      <c r="D1031">
        <f t="shared" ref="D1031:D1094" si="99">AVERAGE(B1027:B1031)</f>
        <v>5385.2916015999999</v>
      </c>
      <c r="E1031">
        <f t="shared" ref="E1031:E1094" si="100">IF(B1031&gt;D1031,1,0)</f>
        <v>0</v>
      </c>
      <c r="F1031" s="2">
        <f t="shared" si="95"/>
        <v>0</v>
      </c>
      <c r="G1031" s="2">
        <f t="shared" si="97"/>
        <v>7.8062682332416191</v>
      </c>
      <c r="H1031" s="2">
        <f t="shared" si="98"/>
        <v>22.944246031590232</v>
      </c>
    </row>
    <row r="1032" spans="1:8" x14ac:dyDescent="0.3">
      <c r="A1032" s="1">
        <v>43582</v>
      </c>
      <c r="B1032">
        <v>5268.2910160000001</v>
      </c>
      <c r="C1032" s="2">
        <f t="shared" si="96"/>
        <v>-2.0944117903025639E-3</v>
      </c>
      <c r="D1032">
        <f t="shared" si="99"/>
        <v>5359.0767580000002</v>
      </c>
      <c r="E1032">
        <f t="shared" si="100"/>
        <v>0</v>
      </c>
      <c r="F1032" s="2">
        <f t="shared" ref="F1032:F1095" si="101">E1031*C1032</f>
        <v>0</v>
      </c>
      <c r="G1032" s="2">
        <f t="shared" si="97"/>
        <v>7.7899186930156539</v>
      </c>
      <c r="H1032" s="2">
        <f t="shared" si="98"/>
        <v>22.944246031590232</v>
      </c>
    </row>
    <row r="1033" spans="1:8" x14ac:dyDescent="0.3">
      <c r="A1033" s="1">
        <v>43583</v>
      </c>
      <c r="B1033">
        <v>5285.1391599999997</v>
      </c>
      <c r="C1033" s="2">
        <f t="shared" si="96"/>
        <v>3.1980283452130998E-3</v>
      </c>
      <c r="D1033">
        <f t="shared" si="99"/>
        <v>5301.6321289999996</v>
      </c>
      <c r="E1033">
        <f t="shared" si="100"/>
        <v>0</v>
      </c>
      <c r="F1033" s="2">
        <f t="shared" si="101"/>
        <v>0</v>
      </c>
      <c r="G1033" s="2">
        <f t="shared" si="97"/>
        <v>7.8148310738028233</v>
      </c>
      <c r="H1033" s="2">
        <f t="shared" si="98"/>
        <v>22.944246031590232</v>
      </c>
    </row>
    <row r="1034" spans="1:8" x14ac:dyDescent="0.3">
      <c r="A1034" s="1">
        <v>43584</v>
      </c>
      <c r="B1034">
        <v>5247.3525390000004</v>
      </c>
      <c r="C1034" s="2">
        <f t="shared" si="96"/>
        <v>-7.1495981195695002E-3</v>
      </c>
      <c r="D1034">
        <f t="shared" si="99"/>
        <v>5258.1292969999995</v>
      </c>
      <c r="E1034">
        <f t="shared" si="100"/>
        <v>0</v>
      </c>
      <c r="F1034" s="2">
        <f t="shared" si="101"/>
        <v>0</v>
      </c>
      <c r="G1034" s="2">
        <f t="shared" si="97"/>
        <v>7.7589581722528091</v>
      </c>
      <c r="H1034" s="2">
        <f t="shared" si="98"/>
        <v>22.944246031590232</v>
      </c>
    </row>
    <row r="1035" spans="1:8" x14ac:dyDescent="0.3">
      <c r="A1035" s="1">
        <v>43585</v>
      </c>
      <c r="B1035">
        <v>5350.7265630000002</v>
      </c>
      <c r="C1035" s="2">
        <f t="shared" si="96"/>
        <v>1.9700224681244771E-2</v>
      </c>
      <c r="D1035">
        <f t="shared" si="99"/>
        <v>5286.1714845999995</v>
      </c>
      <c r="E1035">
        <f t="shared" si="100"/>
        <v>1</v>
      </c>
      <c r="F1035" s="2">
        <f t="shared" si="101"/>
        <v>0</v>
      </c>
      <c r="G1035" s="2">
        <f t="shared" si="97"/>
        <v>7.9118113915385697</v>
      </c>
      <c r="H1035" s="2">
        <f t="shared" si="98"/>
        <v>22.944246031590232</v>
      </c>
    </row>
    <row r="1036" spans="1:8" x14ac:dyDescent="0.3">
      <c r="A1036" s="1">
        <v>43586</v>
      </c>
      <c r="B1036">
        <v>5402.6972660000001</v>
      </c>
      <c r="C1036" s="2">
        <f t="shared" si="96"/>
        <v>9.7128310310929944E-3</v>
      </c>
      <c r="D1036">
        <f t="shared" si="99"/>
        <v>5310.8413087999998</v>
      </c>
      <c r="E1036">
        <f t="shared" si="100"/>
        <v>1</v>
      </c>
      <c r="F1036" s="2">
        <f t="shared" si="101"/>
        <v>9.7128310310929944E-3</v>
      </c>
      <c r="G1036" s="2">
        <f t="shared" si="97"/>
        <v>7.9886574787344609</v>
      </c>
      <c r="H1036" s="2">
        <f t="shared" si="98"/>
        <v>23.167099616430896</v>
      </c>
    </row>
    <row r="1037" spans="1:8" x14ac:dyDescent="0.3">
      <c r="A1037" s="1">
        <v>43587</v>
      </c>
      <c r="B1037">
        <v>5505.2836909999996</v>
      </c>
      <c r="C1037" s="2">
        <f t="shared" si="96"/>
        <v>1.8988001723803993E-2</v>
      </c>
      <c r="D1037">
        <f t="shared" si="99"/>
        <v>5358.2398438</v>
      </c>
      <c r="E1037">
        <f t="shared" si="100"/>
        <v>1</v>
      </c>
      <c r="F1037" s="2">
        <f t="shared" si="101"/>
        <v>1.8988001723803993E-2</v>
      </c>
      <c r="G1037" s="2">
        <f t="shared" si="97"/>
        <v>8.1403461207115502</v>
      </c>
      <c r="H1037" s="2">
        <f t="shared" si="98"/>
        <v>23.606996543883223</v>
      </c>
    </row>
    <row r="1038" spans="1:8" x14ac:dyDescent="0.3">
      <c r="A1038" s="1">
        <v>43588</v>
      </c>
      <c r="B1038">
        <v>5768.2895509999998</v>
      </c>
      <c r="C1038" s="2">
        <f t="shared" si="96"/>
        <v>4.7773352793782475E-2</v>
      </c>
      <c r="D1038">
        <f t="shared" si="99"/>
        <v>5454.8699219999999</v>
      </c>
      <c r="E1038">
        <f t="shared" si="100"/>
        <v>1</v>
      </c>
      <c r="F1038" s="2">
        <f t="shared" si="101"/>
        <v>4.7773352793782475E-2</v>
      </c>
      <c r="G1038" s="2">
        <f t="shared" si="97"/>
        <v>8.5292377477998009</v>
      </c>
      <c r="H1038" s="2">
        <f t="shared" si="98"/>
        <v>24.734781918175759</v>
      </c>
    </row>
    <row r="1039" spans="1:8" x14ac:dyDescent="0.3">
      <c r="A1039" s="1">
        <v>43589</v>
      </c>
      <c r="B1039">
        <v>5831.1674800000001</v>
      </c>
      <c r="C1039" s="2">
        <f t="shared" si="96"/>
        <v>1.0900619402696154E-2</v>
      </c>
      <c r="D1039">
        <f t="shared" si="99"/>
        <v>5571.6329102</v>
      </c>
      <c r="E1039">
        <f t="shared" si="100"/>
        <v>1</v>
      </c>
      <c r="F1039" s="2">
        <f t="shared" si="101"/>
        <v>1.0900619402696154E-2</v>
      </c>
      <c r="G1039" s="2">
        <f t="shared" si="97"/>
        <v>8.6222117222836765</v>
      </c>
      <c r="H1039" s="2">
        <f t="shared" si="98"/>
        <v>25.004406361874484</v>
      </c>
    </row>
    <row r="1040" spans="1:8" x14ac:dyDescent="0.3">
      <c r="A1040" s="1">
        <v>43590</v>
      </c>
      <c r="B1040">
        <v>5795.7084960000002</v>
      </c>
      <c r="C1040" s="2">
        <f t="shared" si="96"/>
        <v>-6.0809407587105735E-3</v>
      </c>
      <c r="D1040">
        <f t="shared" si="99"/>
        <v>5660.6292967999998</v>
      </c>
      <c r="E1040">
        <f t="shared" si="100"/>
        <v>1</v>
      </c>
      <c r="F1040" s="2">
        <f t="shared" si="101"/>
        <v>-6.0809407587105735E-3</v>
      </c>
      <c r="G1040" s="2">
        <f t="shared" si="97"/>
        <v>8.5697805635914097</v>
      </c>
      <c r="H1040" s="2">
        <f t="shared" si="98"/>
        <v>24.852356048081198</v>
      </c>
    </row>
    <row r="1041" spans="1:8" x14ac:dyDescent="0.3">
      <c r="A1041" s="1">
        <v>43591</v>
      </c>
      <c r="B1041">
        <v>5746.8071289999998</v>
      </c>
      <c r="C1041" s="2">
        <f t="shared" si="96"/>
        <v>-8.4375132106369044E-3</v>
      </c>
      <c r="D1041">
        <f t="shared" si="99"/>
        <v>5729.4512693999995</v>
      </c>
      <c r="E1041">
        <f t="shared" si="100"/>
        <v>1</v>
      </c>
      <c r="F1041" s="2">
        <f t="shared" si="101"/>
        <v>-8.4375132106369044E-3</v>
      </c>
      <c r="G1041" s="2">
        <f t="shared" si="97"/>
        <v>8.4974729268738471</v>
      </c>
      <c r="H1041" s="2">
        <f t="shared" si="98"/>
        <v>24.642663965610062</v>
      </c>
    </row>
    <row r="1042" spans="1:8" x14ac:dyDescent="0.3">
      <c r="A1042" s="1">
        <v>43592</v>
      </c>
      <c r="B1042">
        <v>5829.5014650000003</v>
      </c>
      <c r="C1042" s="2">
        <f t="shared" si="96"/>
        <v>1.4389613944532975E-2</v>
      </c>
      <c r="D1042">
        <f t="shared" si="99"/>
        <v>5794.2948242000002</v>
      </c>
      <c r="E1042">
        <f t="shared" si="100"/>
        <v>1</v>
      </c>
      <c r="F1042" s="2">
        <f t="shared" si="101"/>
        <v>1.4389613944532975E-2</v>
      </c>
      <c r="G1042" s="2">
        <f t="shared" si="97"/>
        <v>8.6197482817956832</v>
      </c>
      <c r="H1042" s="2">
        <f t="shared" si="98"/>
        <v>24.997262386640045</v>
      </c>
    </row>
    <row r="1043" spans="1:8" x14ac:dyDescent="0.3">
      <c r="A1043" s="1">
        <v>43593</v>
      </c>
      <c r="B1043">
        <v>5982.4575199999999</v>
      </c>
      <c r="C1043" s="2">
        <f t="shared" si="96"/>
        <v>2.623827370459364E-2</v>
      </c>
      <c r="D1043">
        <f t="shared" si="99"/>
        <v>5837.1284180000002</v>
      </c>
      <c r="E1043">
        <f t="shared" si="100"/>
        <v>1</v>
      </c>
      <c r="F1043" s="2">
        <f t="shared" si="101"/>
        <v>2.623827370459364E-2</v>
      </c>
      <c r="G1043" s="2">
        <f t="shared" si="97"/>
        <v>8.8459155964781395</v>
      </c>
      <c r="H1043" s="2">
        <f t="shared" si="98"/>
        <v>25.653147399006251</v>
      </c>
    </row>
    <row r="1044" spans="1:8" x14ac:dyDescent="0.3">
      <c r="A1044" s="1">
        <v>43594</v>
      </c>
      <c r="B1044">
        <v>6174.5288090000004</v>
      </c>
      <c r="C1044" s="2">
        <f t="shared" si="96"/>
        <v>3.2105750581242765E-2</v>
      </c>
      <c r="D1044">
        <f t="shared" si="99"/>
        <v>5905.8006838000001</v>
      </c>
      <c r="E1044">
        <f t="shared" si="100"/>
        <v>1</v>
      </c>
      <c r="F1044" s="2">
        <f t="shared" si="101"/>
        <v>3.2105750581242765E-2</v>
      </c>
      <c r="G1044" s="2">
        <f t="shared" si="97"/>
        <v>9.1299203562813922</v>
      </c>
      <c r="H1044" s="2">
        <f t="shared" si="98"/>
        <v>26.476760951022602</v>
      </c>
    </row>
    <row r="1045" spans="1:8" x14ac:dyDescent="0.3">
      <c r="A1045" s="1">
        <v>43595</v>
      </c>
      <c r="B1045">
        <v>6378.8491210000002</v>
      </c>
      <c r="C1045" s="2">
        <f t="shared" si="96"/>
        <v>3.3090834672628411E-2</v>
      </c>
      <c r="D1045">
        <f t="shared" si="99"/>
        <v>6022.4288087999994</v>
      </c>
      <c r="E1045">
        <f t="shared" si="100"/>
        <v>1</v>
      </c>
      <c r="F1045" s="2">
        <f t="shared" si="101"/>
        <v>3.3090834672628411E-2</v>
      </c>
      <c r="G1045" s="2">
        <f t="shared" si="97"/>
        <v>9.4320370413653638</v>
      </c>
      <c r="H1045" s="2">
        <f t="shared" si="98"/>
        <v>27.352899070319594</v>
      </c>
    </row>
    <row r="1046" spans="1:8" x14ac:dyDescent="0.3">
      <c r="A1046" s="1">
        <v>43596</v>
      </c>
      <c r="B1046">
        <v>7204.7714839999999</v>
      </c>
      <c r="C1046" s="2">
        <f t="shared" si="96"/>
        <v>0.12947827222954</v>
      </c>
      <c r="D1046">
        <f t="shared" si="99"/>
        <v>6314.0216798000001</v>
      </c>
      <c r="E1046">
        <f t="shared" si="100"/>
        <v>1</v>
      </c>
      <c r="F1046" s="2">
        <f t="shared" si="101"/>
        <v>0.12947827222954</v>
      </c>
      <c r="G1046" s="2">
        <f t="shared" si="97"/>
        <v>10.653280901086374</v>
      </c>
      <c r="H1046" s="2">
        <f t="shared" si="98"/>
        <v>30.894505182413567</v>
      </c>
    </row>
    <row r="1047" spans="1:8" x14ac:dyDescent="0.3">
      <c r="A1047" s="1">
        <v>43597</v>
      </c>
      <c r="B1047">
        <v>6972.3715819999998</v>
      </c>
      <c r="C1047" s="2">
        <f t="shared" si="96"/>
        <v>-3.2256387661441122E-2</v>
      </c>
      <c r="D1047">
        <f t="shared" si="99"/>
        <v>6542.5957031999997</v>
      </c>
      <c r="E1047">
        <f t="shared" si="100"/>
        <v>1</v>
      </c>
      <c r="F1047" s="2">
        <f t="shared" si="101"/>
        <v>-3.2256387661441122E-2</v>
      </c>
      <c r="G1047" s="2">
        <f t="shared" si="97"/>
        <v>10.309644542474706</v>
      </c>
      <c r="H1047" s="2">
        <f t="shared" si="98"/>
        <v>29.897960046641234</v>
      </c>
    </row>
    <row r="1048" spans="1:8" x14ac:dyDescent="0.3">
      <c r="A1048" s="1">
        <v>43598</v>
      </c>
      <c r="B1048">
        <v>7814.9150390000004</v>
      </c>
      <c r="C1048" s="2">
        <f t="shared" si="96"/>
        <v>0.12084029760764992</v>
      </c>
      <c r="D1048">
        <f t="shared" si="99"/>
        <v>6909.0872069999996</v>
      </c>
      <c r="E1048">
        <f t="shared" si="100"/>
        <v>1</v>
      </c>
      <c r="F1048" s="2">
        <f t="shared" si="101"/>
        <v>0.12084029760764992</v>
      </c>
      <c r="G1048" s="2">
        <f t="shared" si="97"/>
        <v>11.555465057216432</v>
      </c>
      <c r="H1048" s="2">
        <f t="shared" si="98"/>
        <v>33.51083843653899</v>
      </c>
    </row>
    <row r="1049" spans="1:8" x14ac:dyDescent="0.3">
      <c r="A1049" s="1">
        <v>43599</v>
      </c>
      <c r="B1049">
        <v>7994.4160160000001</v>
      </c>
      <c r="C1049" s="2">
        <f t="shared" si="96"/>
        <v>2.2969024756405831E-2</v>
      </c>
      <c r="D1049">
        <f t="shared" si="99"/>
        <v>7273.0646483999999</v>
      </c>
      <c r="E1049">
        <f t="shared" si="100"/>
        <v>1</v>
      </c>
      <c r="F1049" s="2">
        <f t="shared" si="101"/>
        <v>2.2969024756405831E-2</v>
      </c>
      <c r="G1049" s="2">
        <f t="shared" si="97"/>
        <v>11.820882820187419</v>
      </c>
      <c r="H1049" s="2">
        <f t="shared" si="98"/>
        <v>34.280549714195772</v>
      </c>
    </row>
    <row r="1050" spans="1:8" x14ac:dyDescent="0.3">
      <c r="A1050" s="1">
        <v>43600</v>
      </c>
      <c r="B1050">
        <v>8205.1679690000001</v>
      </c>
      <c r="C1050" s="2">
        <f t="shared" si="96"/>
        <v>2.636239502400195E-2</v>
      </c>
      <c r="D1050">
        <f t="shared" si="99"/>
        <v>7638.3284180000001</v>
      </c>
      <c r="E1050">
        <f t="shared" si="100"/>
        <v>1</v>
      </c>
      <c r="F1050" s="2">
        <f t="shared" si="101"/>
        <v>2.636239502400195E-2</v>
      </c>
      <c r="G1050" s="2">
        <f t="shared" si="97"/>
        <v>12.132509602625639</v>
      </c>
      <c r="H1050" s="2">
        <f t="shared" si="98"/>
        <v>35.18426710740134</v>
      </c>
    </row>
    <row r="1051" spans="1:8" x14ac:dyDescent="0.3">
      <c r="A1051" s="1">
        <v>43601</v>
      </c>
      <c r="B1051">
        <v>7884.9091799999997</v>
      </c>
      <c r="C1051" s="2">
        <f t="shared" si="96"/>
        <v>-3.9031350754789251E-2</v>
      </c>
      <c r="D1051">
        <f t="shared" si="99"/>
        <v>7774.3559571999995</v>
      </c>
      <c r="E1051">
        <f t="shared" si="100"/>
        <v>1</v>
      </c>
      <c r="F1051" s="2">
        <f t="shared" si="101"/>
        <v>-3.9031350754789251E-2</v>
      </c>
      <c r="G1051" s="2">
        <f t="shared" si="97"/>
        <v>11.658961364789709</v>
      </c>
      <c r="H1051" s="2">
        <f t="shared" si="98"/>
        <v>33.810977636882164</v>
      </c>
    </row>
    <row r="1052" spans="1:8" x14ac:dyDescent="0.3">
      <c r="A1052" s="1">
        <v>43602</v>
      </c>
      <c r="B1052">
        <v>7343.8955079999996</v>
      </c>
      <c r="C1052" s="2">
        <f t="shared" si="96"/>
        <v>-6.8613811478295261E-2</v>
      </c>
      <c r="D1052">
        <f t="shared" si="99"/>
        <v>7848.6607424000003</v>
      </c>
      <c r="E1052">
        <f t="shared" si="100"/>
        <v>0</v>
      </c>
      <c r="F1052" s="2">
        <f t="shared" si="101"/>
        <v>-6.8613811478295261E-2</v>
      </c>
      <c r="G1052" s="2">
        <f t="shared" si="97"/>
        <v>10.8589955876733</v>
      </c>
      <c r="H1052" s="2">
        <f t="shared" si="98"/>
        <v>31.491077591408274</v>
      </c>
    </row>
    <row r="1053" spans="1:8" x14ac:dyDescent="0.3">
      <c r="A1053" s="1">
        <v>43603</v>
      </c>
      <c r="B1053">
        <v>7271.2080079999996</v>
      </c>
      <c r="C1053" s="2">
        <f t="shared" si="96"/>
        <v>-9.8976762293007114E-3</v>
      </c>
      <c r="D1053">
        <f t="shared" si="99"/>
        <v>7739.9193362000005</v>
      </c>
      <c r="E1053">
        <f t="shared" si="100"/>
        <v>0</v>
      </c>
      <c r="F1053" s="2">
        <f t="shared" si="101"/>
        <v>0</v>
      </c>
      <c r="G1053" s="2">
        <f t="shared" si="97"/>
        <v>10.751516765171106</v>
      </c>
      <c r="H1053" s="2">
        <f t="shared" si="98"/>
        <v>31.491077591408274</v>
      </c>
    </row>
    <row r="1054" spans="1:8" x14ac:dyDescent="0.3">
      <c r="A1054" s="1">
        <v>43604</v>
      </c>
      <c r="B1054">
        <v>8197.6894530000009</v>
      </c>
      <c r="C1054" s="2">
        <f t="shared" si="96"/>
        <v>0.12741781612912995</v>
      </c>
      <c r="D1054">
        <f t="shared" si="99"/>
        <v>7780.5740236000001</v>
      </c>
      <c r="E1054">
        <f t="shared" si="100"/>
        <v>1</v>
      </c>
      <c r="F1054" s="2">
        <f t="shared" si="101"/>
        <v>0</v>
      </c>
      <c r="G1054" s="2">
        <f t="shared" si="97"/>
        <v>12.121451551464936</v>
      </c>
      <c r="H1054" s="2">
        <f t="shared" si="98"/>
        <v>31.491077591408274</v>
      </c>
    </row>
    <row r="1055" spans="1:8" x14ac:dyDescent="0.3">
      <c r="A1055" s="1">
        <v>43605</v>
      </c>
      <c r="B1055">
        <v>7978.3090819999998</v>
      </c>
      <c r="C1055" s="2">
        <f t="shared" si="96"/>
        <v>-2.6761244404021389E-2</v>
      </c>
      <c r="D1055">
        <f t="shared" si="99"/>
        <v>7735.2022461999995</v>
      </c>
      <c r="E1055">
        <f t="shared" si="100"/>
        <v>1</v>
      </c>
      <c r="F1055" s="2">
        <f t="shared" si="101"/>
        <v>-2.6761244404021389E-2</v>
      </c>
      <c r="G1055" s="2">
        <f t="shared" si="97"/>
        <v>11.797066423964679</v>
      </c>
      <c r="H1055" s="2">
        <f t="shared" si="98"/>
        <v>30.648337167438598</v>
      </c>
    </row>
    <row r="1056" spans="1:8" x14ac:dyDescent="0.3">
      <c r="A1056" s="1">
        <v>43606</v>
      </c>
      <c r="B1056">
        <v>7963.3276370000003</v>
      </c>
      <c r="C1056" s="2">
        <f t="shared" si="96"/>
        <v>-1.8777719496727574E-3</v>
      </c>
      <c r="D1056">
        <f t="shared" si="99"/>
        <v>7750.8859376000009</v>
      </c>
      <c r="E1056">
        <f t="shared" si="100"/>
        <v>1</v>
      </c>
      <c r="F1056" s="2">
        <f t="shared" si="101"/>
        <v>-1.8777719496727574E-3</v>
      </c>
      <c r="G1056" s="2">
        <f t="shared" si="97"/>
        <v>11.774914223545332</v>
      </c>
      <c r="H1056" s="2">
        <f t="shared" si="98"/>
        <v>30.590786579601467</v>
      </c>
    </row>
    <row r="1057" spans="1:8" x14ac:dyDescent="0.3">
      <c r="A1057" s="1">
        <v>43607</v>
      </c>
      <c r="B1057">
        <v>7680.0664059999999</v>
      </c>
      <c r="C1057" s="2">
        <f t="shared" si="96"/>
        <v>-3.557071163113823E-2</v>
      </c>
      <c r="D1057">
        <f t="shared" si="99"/>
        <v>7818.1201172000001</v>
      </c>
      <c r="E1057">
        <f t="shared" si="100"/>
        <v>0</v>
      </c>
      <c r="F1057" s="2">
        <f t="shared" si="101"/>
        <v>-3.557071163113823E-2</v>
      </c>
      <c r="G1057" s="2">
        <f t="shared" si="97"/>
        <v>11.356072145218214</v>
      </c>
      <c r="H1057" s="2">
        <f t="shared" si="98"/>
        <v>29.502650531608769</v>
      </c>
    </row>
    <row r="1058" spans="1:8" x14ac:dyDescent="0.3">
      <c r="A1058" s="1">
        <v>43608</v>
      </c>
      <c r="B1058">
        <v>7881.8466799999997</v>
      </c>
      <c r="C1058" s="2">
        <f t="shared" si="96"/>
        <v>2.6273246002451289E-2</v>
      </c>
      <c r="D1058">
        <f t="shared" si="99"/>
        <v>7940.2478516000001</v>
      </c>
      <c r="E1058">
        <f t="shared" si="100"/>
        <v>0</v>
      </c>
      <c r="F1058" s="2">
        <f t="shared" si="101"/>
        <v>0</v>
      </c>
      <c r="G1058" s="2">
        <f t="shared" si="97"/>
        <v>11.654433022311116</v>
      </c>
      <c r="H1058" s="2">
        <f t="shared" si="98"/>
        <v>29.502650531608769</v>
      </c>
    </row>
    <row r="1059" spans="1:8" x14ac:dyDescent="0.3">
      <c r="A1059" s="1">
        <v>43609</v>
      </c>
      <c r="B1059">
        <v>7987.3715819999998</v>
      </c>
      <c r="C1059" s="2">
        <f t="shared" si="96"/>
        <v>1.3388347462754746E-2</v>
      </c>
      <c r="D1059">
        <f t="shared" si="99"/>
        <v>7898.1842773999988</v>
      </c>
      <c r="E1059">
        <f t="shared" si="100"/>
        <v>1</v>
      </c>
      <c r="F1059" s="2">
        <f t="shared" si="101"/>
        <v>0</v>
      </c>
      <c r="G1059" s="2">
        <f t="shared" si="97"/>
        <v>11.81046662109522</v>
      </c>
      <c r="H1059" s="2">
        <f t="shared" si="98"/>
        <v>29.502650531608769</v>
      </c>
    </row>
    <row r="1060" spans="1:8" x14ac:dyDescent="0.3">
      <c r="A1060" s="1">
        <v>43610</v>
      </c>
      <c r="B1060">
        <v>8052.5439450000003</v>
      </c>
      <c r="C1060" s="2">
        <f t="shared" si="96"/>
        <v>8.15942545440973E-3</v>
      </c>
      <c r="D1060">
        <f t="shared" si="99"/>
        <v>7913.03125</v>
      </c>
      <c r="E1060">
        <f t="shared" si="100"/>
        <v>1</v>
      </c>
      <c r="F1060" s="2">
        <f t="shared" si="101"/>
        <v>8.15942545440973E-3</v>
      </c>
      <c r="G1060" s="2">
        <f t="shared" si="97"/>
        <v>11.906833243071841</v>
      </c>
      <c r="H1060" s="2">
        <f t="shared" si="98"/>
        <v>29.743375209328931</v>
      </c>
    </row>
    <row r="1061" spans="1:8" x14ac:dyDescent="0.3">
      <c r="A1061" s="1">
        <v>43611</v>
      </c>
      <c r="B1061">
        <v>8673.2158199999994</v>
      </c>
      <c r="C1061" s="2">
        <f t="shared" si="96"/>
        <v>7.7077738319625944E-2</v>
      </c>
      <c r="D1061">
        <f t="shared" si="99"/>
        <v>8055.0088866000006</v>
      </c>
      <c r="E1061">
        <f t="shared" si="100"/>
        <v>1</v>
      </c>
      <c r="F1061" s="2">
        <f t="shared" si="101"/>
        <v>7.7077738319625944E-2</v>
      </c>
      <c r="G1061" s="2">
        <f t="shared" si="97"/>
        <v>12.824585019996755</v>
      </c>
      <c r="H1061" s="2">
        <f t="shared" si="98"/>
        <v>32.035927300456038</v>
      </c>
    </row>
    <row r="1062" spans="1:8" x14ac:dyDescent="0.3">
      <c r="A1062" s="1">
        <v>43612</v>
      </c>
      <c r="B1062">
        <v>8805.7783199999994</v>
      </c>
      <c r="C1062" s="2">
        <f t="shared" si="96"/>
        <v>1.5284123299954988E-2</v>
      </c>
      <c r="D1062">
        <f t="shared" si="99"/>
        <v>8280.1512693999994</v>
      </c>
      <c r="E1062">
        <f t="shared" si="100"/>
        <v>1</v>
      </c>
      <c r="F1062" s="2">
        <f t="shared" si="101"/>
        <v>1.5284123299954988E-2</v>
      </c>
      <c r="G1062" s="2">
        <f t="shared" si="97"/>
        <v>13.020597558713142</v>
      </c>
      <c r="H1062" s="2">
        <f t="shared" si="98"/>
        <v>32.525568363344604</v>
      </c>
    </row>
    <row r="1063" spans="1:8" x14ac:dyDescent="0.3">
      <c r="A1063" s="1">
        <v>43613</v>
      </c>
      <c r="B1063">
        <v>8719.9619139999995</v>
      </c>
      <c r="C1063" s="2">
        <f t="shared" si="96"/>
        <v>-9.7454651799592229E-3</v>
      </c>
      <c r="D1063">
        <f t="shared" si="99"/>
        <v>8447.7743162000006</v>
      </c>
      <c r="E1063">
        <f t="shared" si="100"/>
        <v>1</v>
      </c>
      <c r="F1063" s="2">
        <f t="shared" si="101"/>
        <v>-9.7454651799592229E-3</v>
      </c>
      <c r="G1063" s="2">
        <f t="shared" si="97"/>
        <v>12.893705778582442</v>
      </c>
      <c r="H1063" s="2">
        <f t="shared" si="98"/>
        <v>32.208591569401243</v>
      </c>
    </row>
    <row r="1064" spans="1:8" x14ac:dyDescent="0.3">
      <c r="A1064" s="1">
        <v>43614</v>
      </c>
      <c r="B1064">
        <v>8659.4873050000006</v>
      </c>
      <c r="C1064" s="2">
        <f t="shared" si="96"/>
        <v>-6.935191873132629E-3</v>
      </c>
      <c r="D1064">
        <f t="shared" si="99"/>
        <v>8582.1974608</v>
      </c>
      <c r="E1064">
        <f t="shared" si="100"/>
        <v>1</v>
      </c>
      <c r="F1064" s="2">
        <f t="shared" si="101"/>
        <v>-6.935191873132629E-3</v>
      </c>
      <c r="G1064" s="2">
        <f t="shared" si="97"/>
        <v>12.804285455052254</v>
      </c>
      <c r="H1064" s="2">
        <f t="shared" si="98"/>
        <v>31.985218806904083</v>
      </c>
    </row>
    <row r="1065" spans="1:8" x14ac:dyDescent="0.3">
      <c r="A1065" s="1">
        <v>43615</v>
      </c>
      <c r="B1065">
        <v>8319.4726559999999</v>
      </c>
      <c r="C1065" s="2">
        <f t="shared" si="96"/>
        <v>-3.9264986138807023E-2</v>
      </c>
      <c r="D1065">
        <f t="shared" si="99"/>
        <v>8635.5832029999983</v>
      </c>
      <c r="E1065">
        <f t="shared" si="100"/>
        <v>0</v>
      </c>
      <c r="F1065" s="2">
        <f t="shared" si="101"/>
        <v>-3.9264986138807023E-2</v>
      </c>
      <c r="G1065" s="2">
        <f t="shared" si="97"/>
        <v>12.301525364142298</v>
      </c>
      <c r="H1065" s="2">
        <f t="shared" si="98"/>
        <v>30.729319633804284</v>
      </c>
    </row>
    <row r="1066" spans="1:8" x14ac:dyDescent="0.3">
      <c r="A1066" s="1">
        <v>43616</v>
      </c>
      <c r="B1066">
        <v>8574.5019530000009</v>
      </c>
      <c r="C1066" s="2">
        <f t="shared" si="96"/>
        <v>3.0654502700489639E-2</v>
      </c>
      <c r="D1066">
        <f t="shared" si="99"/>
        <v>8615.840429599999</v>
      </c>
      <c r="E1066">
        <f t="shared" si="100"/>
        <v>0</v>
      </c>
      <c r="F1066" s="2">
        <f t="shared" si="101"/>
        <v>0</v>
      </c>
      <c r="G1066" s="2">
        <f t="shared" si="97"/>
        <v>12.67862250663754</v>
      </c>
      <c r="H1066" s="2">
        <f t="shared" si="98"/>
        <v>30.729319633804284</v>
      </c>
    </row>
    <row r="1067" spans="1:8" x14ac:dyDescent="0.3">
      <c r="A1067" s="1">
        <v>43617</v>
      </c>
      <c r="B1067">
        <v>8564.0166019999997</v>
      </c>
      <c r="C1067" s="2">
        <f t="shared" si="96"/>
        <v>-1.2228524825669274E-3</v>
      </c>
      <c r="D1067">
        <f t="shared" si="99"/>
        <v>8567.4880860000012</v>
      </c>
      <c r="E1067">
        <f t="shared" si="100"/>
        <v>0</v>
      </c>
      <c r="F1067" s="2">
        <f t="shared" si="101"/>
        <v>0</v>
      </c>
      <c r="G1067" s="2">
        <f t="shared" si="97"/>
        <v>12.663118421629768</v>
      </c>
      <c r="H1067" s="2">
        <f t="shared" si="98"/>
        <v>30.729319633804284</v>
      </c>
    </row>
    <row r="1068" spans="1:8" x14ac:dyDescent="0.3">
      <c r="A1068" s="1">
        <v>43618</v>
      </c>
      <c r="B1068">
        <v>8742.9580079999996</v>
      </c>
      <c r="C1068" s="2">
        <f t="shared" si="96"/>
        <v>2.0894565519432806E-2</v>
      </c>
      <c r="D1068">
        <f t="shared" si="99"/>
        <v>8572.0873048000012</v>
      </c>
      <c r="E1068">
        <f t="shared" si="100"/>
        <v>1</v>
      </c>
      <c r="F1068" s="2">
        <f t="shared" si="101"/>
        <v>0</v>
      </c>
      <c r="G1068" s="2">
        <f t="shared" si="97"/>
        <v>12.927708779170848</v>
      </c>
      <c r="H1068" s="2">
        <f t="shared" si="98"/>
        <v>30.729319633804284</v>
      </c>
    </row>
    <row r="1069" spans="1:8" x14ac:dyDescent="0.3">
      <c r="A1069" s="1">
        <v>43619</v>
      </c>
      <c r="B1069">
        <v>8208.9951170000004</v>
      </c>
      <c r="C1069" s="2">
        <f t="shared" si="96"/>
        <v>-6.1073482282702374E-2</v>
      </c>
      <c r="D1069">
        <f t="shared" si="99"/>
        <v>8481.9888671999997</v>
      </c>
      <c r="E1069">
        <f t="shared" si="100"/>
        <v>0</v>
      </c>
      <c r="F1069" s="2">
        <f t="shared" si="101"/>
        <v>-6.1073482282702374E-2</v>
      </c>
      <c r="G1069" s="2">
        <f t="shared" si="97"/>
        <v>12.138168586090222</v>
      </c>
      <c r="H1069" s="2">
        <f t="shared" si="98"/>
        <v>28.852573075589639</v>
      </c>
    </row>
    <row r="1070" spans="1:8" x14ac:dyDescent="0.3">
      <c r="A1070" s="1">
        <v>43620</v>
      </c>
      <c r="B1070">
        <v>7707.7709960000002</v>
      </c>
      <c r="C1070" s="2">
        <f t="shared" si="96"/>
        <v>-6.1057914380045819E-2</v>
      </c>
      <c r="D1070">
        <f t="shared" si="99"/>
        <v>8359.6485352</v>
      </c>
      <c r="E1070">
        <f t="shared" si="100"/>
        <v>0</v>
      </c>
      <c r="F1070" s="2">
        <f t="shared" si="101"/>
        <v>0</v>
      </c>
      <c r="G1070" s="2">
        <f t="shared" si="97"/>
        <v>11.397037327830164</v>
      </c>
      <c r="H1070" s="2">
        <f t="shared" si="98"/>
        <v>28.852573075589639</v>
      </c>
    </row>
    <row r="1071" spans="1:8" x14ac:dyDescent="0.3">
      <c r="A1071" s="1">
        <v>43621</v>
      </c>
      <c r="B1071">
        <v>7824.2314450000003</v>
      </c>
      <c r="C1071" s="2">
        <f t="shared" si="96"/>
        <v>1.5109484838150777E-2</v>
      </c>
      <c r="D1071">
        <f t="shared" si="99"/>
        <v>8209.5944335999993</v>
      </c>
      <c r="E1071">
        <f t="shared" si="100"/>
        <v>0</v>
      </c>
      <c r="F1071" s="2">
        <f t="shared" si="101"/>
        <v>0</v>
      </c>
      <c r="G1071" s="2">
        <f t="shared" si="97"/>
        <v>11.569240690534853</v>
      </c>
      <c r="H1071" s="2">
        <f t="shared" si="98"/>
        <v>28.852573075589639</v>
      </c>
    </row>
    <row r="1072" spans="1:8" x14ac:dyDescent="0.3">
      <c r="A1072" s="1">
        <v>43622</v>
      </c>
      <c r="B1072">
        <v>7822.0234380000002</v>
      </c>
      <c r="C1072" s="2">
        <f t="shared" si="96"/>
        <v>-2.8220113573085293E-4</v>
      </c>
      <c r="D1072">
        <f t="shared" si="99"/>
        <v>8061.1958008000001</v>
      </c>
      <c r="E1072">
        <f t="shared" si="100"/>
        <v>0</v>
      </c>
      <c r="F1072" s="2">
        <f t="shared" si="101"/>
        <v>0</v>
      </c>
      <c r="G1072" s="2">
        <f t="shared" si="97"/>
        <v>11.56597583767244</v>
      </c>
      <c r="H1072" s="2">
        <f t="shared" si="98"/>
        <v>28.852573075589639</v>
      </c>
    </row>
    <row r="1073" spans="1:8" x14ac:dyDescent="0.3">
      <c r="A1073" s="1">
        <v>43623</v>
      </c>
      <c r="B1073">
        <v>8043.951172</v>
      </c>
      <c r="C1073" s="2">
        <f t="shared" si="96"/>
        <v>2.8372164281924572E-2</v>
      </c>
      <c r="D1073">
        <f t="shared" si="99"/>
        <v>7921.3944336000004</v>
      </c>
      <c r="E1073">
        <f t="shared" si="100"/>
        <v>1</v>
      </c>
      <c r="F1073" s="2">
        <f t="shared" si="101"/>
        <v>0</v>
      </c>
      <c r="G1073" s="2">
        <f t="shared" si="97"/>
        <v>11.894127604219653</v>
      </c>
      <c r="H1073" s="2">
        <f t="shared" si="98"/>
        <v>28.852573075589639</v>
      </c>
    </row>
    <row r="1074" spans="1:8" x14ac:dyDescent="0.3">
      <c r="A1074" s="1">
        <v>43624</v>
      </c>
      <c r="B1074">
        <v>7954.1279299999997</v>
      </c>
      <c r="C1074" s="2">
        <f t="shared" si="96"/>
        <v>-1.1166557339714389E-2</v>
      </c>
      <c r="D1074">
        <f t="shared" si="99"/>
        <v>7870.4209962000004</v>
      </c>
      <c r="E1074">
        <f t="shared" si="100"/>
        <v>1</v>
      </c>
      <c r="F1074" s="2">
        <f t="shared" si="101"/>
        <v>-1.1166557339714389E-2</v>
      </c>
      <c r="G1074" s="2">
        <f t="shared" si="97"/>
        <v>11.761311146321255</v>
      </c>
      <c r="H1074" s="2">
        <f t="shared" si="98"/>
        <v>28.530389163942768</v>
      </c>
    </row>
    <row r="1075" spans="1:8" x14ac:dyDescent="0.3">
      <c r="A1075" s="1">
        <v>43625</v>
      </c>
      <c r="B1075">
        <v>7688.0771480000003</v>
      </c>
      <c r="C1075" s="2">
        <f t="shared" si="96"/>
        <v>-3.344813967557092E-2</v>
      </c>
      <c r="D1075">
        <f t="shared" si="99"/>
        <v>7866.4822266000001</v>
      </c>
      <c r="E1075">
        <f t="shared" si="100"/>
        <v>0</v>
      </c>
      <c r="F1075" s="2">
        <f t="shared" si="101"/>
        <v>-3.344813967557092E-2</v>
      </c>
      <c r="G1075" s="2">
        <f t="shared" si="97"/>
        <v>11.367917168331251</v>
      </c>
      <c r="H1075" s="2">
        <f t="shared" si="98"/>
        <v>27.576100722188816</v>
      </c>
    </row>
    <row r="1076" spans="1:8" x14ac:dyDescent="0.3">
      <c r="A1076" s="1">
        <v>43626</v>
      </c>
      <c r="B1076">
        <v>8000.3295900000003</v>
      </c>
      <c r="C1076" s="2">
        <f t="shared" si="96"/>
        <v>4.0615154607446913E-2</v>
      </c>
      <c r="D1076">
        <f t="shared" si="99"/>
        <v>7901.7018555999994</v>
      </c>
      <c r="E1076">
        <f t="shared" si="100"/>
        <v>1</v>
      </c>
      <c r="F1076" s="2">
        <f t="shared" si="101"/>
        <v>0</v>
      </c>
      <c r="G1076" s="2">
        <f t="shared" si="97"/>
        <v>11.829626881687675</v>
      </c>
      <c r="H1076" s="2">
        <f t="shared" si="98"/>
        <v>27.576100722188816</v>
      </c>
    </row>
    <row r="1077" spans="1:8" x14ac:dyDescent="0.3">
      <c r="A1077" s="1">
        <v>43627</v>
      </c>
      <c r="B1077">
        <v>7927.7143550000001</v>
      </c>
      <c r="C1077" s="2">
        <f t="shared" si="96"/>
        <v>-9.0765304332918184E-3</v>
      </c>
      <c r="D1077">
        <f t="shared" si="99"/>
        <v>7922.8400389999997</v>
      </c>
      <c r="E1077">
        <f t="shared" si="100"/>
        <v>1</v>
      </c>
      <c r="F1077" s="2">
        <f t="shared" si="101"/>
        <v>-9.0765304332918184E-3</v>
      </c>
      <c r="G1077" s="2">
        <f t="shared" si="97"/>
        <v>11.722254913281549</v>
      </c>
      <c r="H1077" s="2">
        <f t="shared" si="98"/>
        <v>27.325805404752348</v>
      </c>
    </row>
    <row r="1078" spans="1:8" x14ac:dyDescent="0.3">
      <c r="A1078" s="1">
        <v>43628</v>
      </c>
      <c r="B1078">
        <v>8145.857422</v>
      </c>
      <c r="C1078" s="2">
        <f t="shared" si="96"/>
        <v>2.75165144998466E-2</v>
      </c>
      <c r="D1078">
        <f t="shared" si="99"/>
        <v>7943.2212889999992</v>
      </c>
      <c r="E1078">
        <f t="shared" si="100"/>
        <v>1</v>
      </c>
      <c r="F1078" s="2">
        <f t="shared" si="101"/>
        <v>2.75165144998466E-2</v>
      </c>
      <c r="G1078" s="2">
        <f t="shared" si="97"/>
        <v>12.044810510573759</v>
      </c>
      <c r="H1078" s="2">
        <f t="shared" si="98"/>
        <v>28.077716325392203</v>
      </c>
    </row>
    <row r="1079" spans="1:8" x14ac:dyDescent="0.3">
      <c r="A1079" s="1">
        <v>43629</v>
      </c>
      <c r="B1079">
        <v>8230.9238280000009</v>
      </c>
      <c r="C1079" s="2">
        <f t="shared" si="96"/>
        <v>1.0442903870408582E-2</v>
      </c>
      <c r="D1079">
        <f t="shared" si="99"/>
        <v>7998.5804686000001</v>
      </c>
      <c r="E1079">
        <f t="shared" si="100"/>
        <v>1</v>
      </c>
      <c r="F1079" s="2">
        <f t="shared" si="101"/>
        <v>1.0442903870408582E-2</v>
      </c>
      <c r="G1079" s="2">
        <f t="shared" si="97"/>
        <v>12.170593308872968</v>
      </c>
      <c r="H1079" s="2">
        <f t="shared" si="98"/>
        <v>28.370929217878874</v>
      </c>
    </row>
    <row r="1080" spans="1:8" x14ac:dyDescent="0.3">
      <c r="A1080" s="1">
        <v>43630</v>
      </c>
      <c r="B1080">
        <v>8693.8330079999996</v>
      </c>
      <c r="C1080" s="2">
        <f t="shared" si="96"/>
        <v>5.6240245891387319E-2</v>
      </c>
      <c r="D1080">
        <f t="shared" si="99"/>
        <v>8199.7316406000009</v>
      </c>
      <c r="E1080">
        <f t="shared" si="100"/>
        <v>1</v>
      </c>
      <c r="F1080" s="2">
        <f t="shared" si="101"/>
        <v>5.6240245891387319E-2</v>
      </c>
      <c r="G1080" s="2">
        <f t="shared" si="97"/>
        <v>12.855070469208057</v>
      </c>
      <c r="H1080" s="2">
        <f t="shared" si="98"/>
        <v>29.966517253259529</v>
      </c>
    </row>
    <row r="1081" spans="1:8" x14ac:dyDescent="0.3">
      <c r="A1081" s="1">
        <v>43631</v>
      </c>
      <c r="B1081">
        <v>8838.375</v>
      </c>
      <c r="C1081" s="2">
        <f t="shared" si="96"/>
        <v>1.6625807266713588E-2</v>
      </c>
      <c r="D1081">
        <f t="shared" si="99"/>
        <v>8367.3407226000018</v>
      </c>
      <c r="E1081">
        <f t="shared" si="100"/>
        <v>1</v>
      </c>
      <c r="F1081" s="2">
        <f t="shared" si="101"/>
        <v>1.6625807266713588E-2</v>
      </c>
      <c r="G1081" s="2">
        <f t="shared" si="97"/>
        <v>13.068796393229132</v>
      </c>
      <c r="H1081" s="2">
        <f t="shared" si="98"/>
        <v>30.464734793566869</v>
      </c>
    </row>
    <row r="1082" spans="1:8" x14ac:dyDescent="0.3">
      <c r="A1082" s="1">
        <v>43632</v>
      </c>
      <c r="B1082">
        <v>8994.4882809999999</v>
      </c>
      <c r="C1082" s="2">
        <f t="shared" si="96"/>
        <v>1.7663120313406111E-2</v>
      </c>
      <c r="D1082">
        <f t="shared" si="99"/>
        <v>8580.6955077999992</v>
      </c>
      <c r="E1082">
        <f t="shared" si="100"/>
        <v>1</v>
      </c>
      <c r="F1082" s="2">
        <f t="shared" si="101"/>
        <v>1.7663120313406111E-2</v>
      </c>
      <c r="G1082" s="2">
        <f t="shared" si="97"/>
        <v>13.299632116274147</v>
      </c>
      <c r="H1082" s="2">
        <f t="shared" si="98"/>
        <v>31.002837069541648</v>
      </c>
    </row>
    <row r="1083" spans="1:8" x14ac:dyDescent="0.3">
      <c r="A1083" s="1">
        <v>43633</v>
      </c>
      <c r="B1083">
        <v>9320.3525389999995</v>
      </c>
      <c r="C1083" s="2">
        <f t="shared" si="96"/>
        <v>3.6229327096723996E-2</v>
      </c>
      <c r="D1083">
        <f t="shared" si="99"/>
        <v>8815.5945312000003</v>
      </c>
      <c r="E1083">
        <f t="shared" si="100"/>
        <v>1</v>
      </c>
      <c r="F1083" s="2">
        <f t="shared" si="101"/>
        <v>3.6229327096723996E-2</v>
      </c>
      <c r="G1083" s="2">
        <f t="shared" si="97"/>
        <v>13.781468838480738</v>
      </c>
      <c r="H1083" s="2">
        <f t="shared" si="98"/>
        <v>32.126048994660515</v>
      </c>
    </row>
    <row r="1084" spans="1:8" x14ac:dyDescent="0.3">
      <c r="A1084" s="1">
        <v>43634</v>
      </c>
      <c r="B1084">
        <v>9081.7626949999994</v>
      </c>
      <c r="C1084" s="2">
        <f t="shared" si="96"/>
        <v>-2.5598800367437446E-2</v>
      </c>
      <c r="D1084">
        <f t="shared" si="99"/>
        <v>8985.762304599999</v>
      </c>
      <c r="E1084">
        <f t="shared" si="100"/>
        <v>1</v>
      </c>
      <c r="F1084" s="2">
        <f t="shared" si="101"/>
        <v>-2.5598800367437446E-2</v>
      </c>
      <c r="G1084" s="2">
        <f t="shared" si="97"/>
        <v>13.428679768914408</v>
      </c>
      <c r="H1084" s="2">
        <f t="shared" si="98"/>
        <v>31.303660679851685</v>
      </c>
    </row>
    <row r="1085" spans="1:8" x14ac:dyDescent="0.3">
      <c r="A1085" s="1">
        <v>43635</v>
      </c>
      <c r="B1085">
        <v>9273.5214840000008</v>
      </c>
      <c r="C1085" s="2">
        <f t="shared" si="96"/>
        <v>2.1114710375065737E-2</v>
      </c>
      <c r="D1085">
        <f t="shared" si="99"/>
        <v>9101.6999997999992</v>
      </c>
      <c r="E1085">
        <f t="shared" si="100"/>
        <v>1</v>
      </c>
      <c r="F1085" s="2">
        <f t="shared" si="101"/>
        <v>2.1114710375065737E-2</v>
      </c>
      <c r="G1085" s="2">
        <f t="shared" si="97"/>
        <v>13.71222245295454</v>
      </c>
      <c r="H1085" s="2">
        <f t="shared" si="98"/>
        <v>31.964628408786087</v>
      </c>
    </row>
    <row r="1086" spans="1:8" x14ac:dyDescent="0.3">
      <c r="A1086" s="1">
        <v>43636</v>
      </c>
      <c r="B1086">
        <v>9527.1601559999999</v>
      </c>
      <c r="C1086" s="2">
        <f t="shared" si="96"/>
        <v>2.7350847511122156E-2</v>
      </c>
      <c r="D1086">
        <f t="shared" si="99"/>
        <v>9239.4570309999981</v>
      </c>
      <c r="E1086">
        <f t="shared" si="100"/>
        <v>1</v>
      </c>
      <c r="F1086" s="2">
        <f t="shared" si="101"/>
        <v>2.7350847511122156E-2</v>
      </c>
      <c r="G1086" s="2">
        <f t="shared" si="97"/>
        <v>14.087263358303884</v>
      </c>
      <c r="H1086" s="2">
        <f t="shared" si="98"/>
        <v>32.838888086144479</v>
      </c>
    </row>
    <row r="1087" spans="1:8" x14ac:dyDescent="0.3">
      <c r="A1087" s="1">
        <v>43637</v>
      </c>
      <c r="B1087">
        <v>10144.556640999999</v>
      </c>
      <c r="C1087" s="2">
        <f t="shared" si="96"/>
        <v>6.480383187545935E-2</v>
      </c>
      <c r="D1087">
        <f t="shared" si="99"/>
        <v>9469.470702999999</v>
      </c>
      <c r="E1087">
        <f t="shared" si="100"/>
        <v>1</v>
      </c>
      <c r="F1087" s="2">
        <f t="shared" si="101"/>
        <v>6.480383187545935E-2</v>
      </c>
      <c r="G1087" s="2">
        <f t="shared" si="97"/>
        <v>15.000172004560728</v>
      </c>
      <c r="H1087" s="2">
        <f t="shared" si="98"/>
        <v>34.966973868656012</v>
      </c>
    </row>
    <row r="1088" spans="1:8" x14ac:dyDescent="0.3">
      <c r="A1088" s="1">
        <v>43638</v>
      </c>
      <c r="B1088">
        <v>10701.691406</v>
      </c>
      <c r="C1088" s="2">
        <f t="shared" si="96"/>
        <v>5.4919577534645381E-2</v>
      </c>
      <c r="D1088">
        <f t="shared" si="99"/>
        <v>9745.738476399998</v>
      </c>
      <c r="E1088">
        <f t="shared" si="100"/>
        <v>1</v>
      </c>
      <c r="F1088" s="2">
        <f t="shared" si="101"/>
        <v>5.4919577534645381E-2</v>
      </c>
      <c r="G1088" s="2">
        <f t="shared" si="97"/>
        <v>15.823975113998218</v>
      </c>
      <c r="H1088" s="2">
        <f t="shared" si="98"/>
        <v>36.887345301187587</v>
      </c>
    </row>
    <row r="1089" spans="1:8" x14ac:dyDescent="0.3">
      <c r="A1089" s="1">
        <v>43639</v>
      </c>
      <c r="B1089">
        <v>10855.371094</v>
      </c>
      <c r="C1089" s="2">
        <f t="shared" si="96"/>
        <v>1.4360317651641363E-2</v>
      </c>
      <c r="D1089">
        <f t="shared" si="99"/>
        <v>10100.460156200001</v>
      </c>
      <c r="E1089">
        <f t="shared" si="100"/>
        <v>1</v>
      </c>
      <c r="F1089" s="2">
        <f t="shared" si="101"/>
        <v>1.4360317651641363E-2</v>
      </c>
      <c r="G1089" s="2">
        <f t="shared" si="97"/>
        <v>16.0512124231469</v>
      </c>
      <c r="H1089" s="2">
        <f t="shared" si="98"/>
        <v>37.417059297038421</v>
      </c>
    </row>
    <row r="1090" spans="1:8" x14ac:dyDescent="0.3">
      <c r="A1090" s="1">
        <v>43640</v>
      </c>
      <c r="B1090">
        <v>11011.102539</v>
      </c>
      <c r="C1090" s="2">
        <f t="shared" si="96"/>
        <v>1.4346026833304215E-2</v>
      </c>
      <c r="D1090">
        <f t="shared" si="99"/>
        <v>10447.976367200001</v>
      </c>
      <c r="E1090">
        <f t="shared" si="100"/>
        <v>1</v>
      </c>
      <c r="F1090" s="2">
        <f t="shared" si="101"/>
        <v>1.4346026833304215E-2</v>
      </c>
      <c r="G1090" s="2">
        <f t="shared" si="97"/>
        <v>16.28148354727643</v>
      </c>
      <c r="H1090" s="2">
        <f t="shared" si="98"/>
        <v>37.953845433737065</v>
      </c>
    </row>
    <row r="1091" spans="1:8" x14ac:dyDescent="0.3">
      <c r="A1091" s="1">
        <v>43641</v>
      </c>
      <c r="B1091">
        <v>11790.916992</v>
      </c>
      <c r="C1091" s="2">
        <f t="shared" si="96"/>
        <v>7.082074208627076E-2</v>
      </c>
      <c r="D1091">
        <f t="shared" si="99"/>
        <v>10900.727734399999</v>
      </c>
      <c r="E1091">
        <f t="shared" si="100"/>
        <v>1</v>
      </c>
      <c r="F1091" s="2">
        <f t="shared" si="101"/>
        <v>7.082074208627076E-2</v>
      </c>
      <c r="G1091" s="2">
        <f t="shared" si="97"/>
        <v>17.434550294359955</v>
      </c>
      <c r="H1091" s="2">
        <f t="shared" si="98"/>
        <v>40.641764932381946</v>
      </c>
    </row>
    <row r="1092" spans="1:8" x14ac:dyDescent="0.3">
      <c r="A1092" s="1">
        <v>43642</v>
      </c>
      <c r="B1092">
        <v>13016.231444999999</v>
      </c>
      <c r="C1092" s="2">
        <f t="shared" ref="C1092:C1155" si="102">B1092/B1091-1</f>
        <v>0.10392020008548619</v>
      </c>
      <c r="D1092">
        <f t="shared" si="99"/>
        <v>11475.062695199998</v>
      </c>
      <c r="E1092">
        <f t="shared" si="100"/>
        <v>1</v>
      </c>
      <c r="F1092" s="2">
        <f t="shared" si="101"/>
        <v>0.10392020008548619</v>
      </c>
      <c r="G1092" s="2">
        <f t="shared" ref="G1092:G1155" si="103">(1+C1092)*G1091</f>
        <v>19.246352249350313</v>
      </c>
      <c r="H1092" s="2">
        <f t="shared" ref="H1092:H1155" si="104">(1+F1092)*H1091</f>
        <v>44.865265275982374</v>
      </c>
    </row>
    <row r="1093" spans="1:8" x14ac:dyDescent="0.3">
      <c r="A1093" s="1">
        <v>43643</v>
      </c>
      <c r="B1093">
        <v>11182.806640999999</v>
      </c>
      <c r="C1093" s="2">
        <f t="shared" si="102"/>
        <v>-0.14085680726768912</v>
      </c>
      <c r="D1093">
        <f t="shared" si="99"/>
        <v>11571.2857422</v>
      </c>
      <c r="E1093">
        <f t="shared" si="100"/>
        <v>0</v>
      </c>
      <c r="F1093" s="2">
        <f t="shared" si="101"/>
        <v>-0.14085680726768912</v>
      </c>
      <c r="G1093" s="2">
        <f t="shared" si="103"/>
        <v>16.535372519957519</v>
      </c>
      <c r="H1093" s="2">
        <f t="shared" si="104"/>
        <v>38.545687251989577</v>
      </c>
    </row>
    <row r="1094" spans="1:8" x14ac:dyDescent="0.3">
      <c r="A1094" s="1">
        <v>43644</v>
      </c>
      <c r="B1094">
        <v>12407.332031</v>
      </c>
      <c r="C1094" s="2">
        <f t="shared" si="102"/>
        <v>0.10950072100061825</v>
      </c>
      <c r="D1094">
        <f t="shared" si="99"/>
        <v>11881.677929599999</v>
      </c>
      <c r="E1094">
        <f t="shared" si="100"/>
        <v>1</v>
      </c>
      <c r="F1094" s="2">
        <f t="shared" si="101"/>
        <v>0</v>
      </c>
      <c r="G1094" s="2">
        <f t="shared" si="103"/>
        <v>18.346007732906678</v>
      </c>
      <c r="H1094" s="2">
        <f t="shared" si="104"/>
        <v>38.545687251989577</v>
      </c>
    </row>
    <row r="1095" spans="1:8" x14ac:dyDescent="0.3">
      <c r="A1095" s="1">
        <v>43645</v>
      </c>
      <c r="B1095">
        <v>11959.371094</v>
      </c>
      <c r="C1095" s="2">
        <f t="shared" si="102"/>
        <v>-3.6104533664510607E-2</v>
      </c>
      <c r="D1095">
        <f t="shared" ref="D1095:D1158" si="105">AVERAGE(B1091:B1095)</f>
        <v>12071.331640599999</v>
      </c>
      <c r="E1095">
        <f t="shared" ref="E1095:E1158" si="106">IF(B1095&gt;D1095,1,0)</f>
        <v>0</v>
      </c>
      <c r="F1095" s="2">
        <f t="shared" si="101"/>
        <v>-3.6104533664510607E-2</v>
      </c>
      <c r="G1095" s="2">
        <f t="shared" si="103"/>
        <v>17.683633679104577</v>
      </c>
      <c r="H1095" s="2">
        <f t="shared" si="104"/>
        <v>37.154013188978425</v>
      </c>
    </row>
    <row r="1096" spans="1:8" x14ac:dyDescent="0.3">
      <c r="A1096" s="1">
        <v>43646</v>
      </c>
      <c r="B1096">
        <v>10817.155273</v>
      </c>
      <c r="C1096" s="2">
        <f t="shared" si="102"/>
        <v>-9.5508017271330292E-2</v>
      </c>
      <c r="D1096">
        <f t="shared" si="105"/>
        <v>11876.579296799999</v>
      </c>
      <c r="E1096">
        <f t="shared" si="106"/>
        <v>0</v>
      </c>
      <c r="F1096" s="2">
        <f t="shared" ref="F1096:F1159" si="107">E1095*C1096</f>
        <v>0</v>
      </c>
      <c r="G1096" s="2">
        <f t="shared" si="103"/>
        <v>15.994704888260779</v>
      </c>
      <c r="H1096" s="2">
        <f t="shared" si="104"/>
        <v>37.154013188978425</v>
      </c>
    </row>
    <row r="1097" spans="1:8" x14ac:dyDescent="0.3">
      <c r="A1097" s="1">
        <v>43647</v>
      </c>
      <c r="B1097">
        <v>10583.134765999999</v>
      </c>
      <c r="C1097" s="2">
        <f t="shared" si="102"/>
        <v>-2.163420059099308E-2</v>
      </c>
      <c r="D1097">
        <f t="shared" si="105"/>
        <v>11389.959961</v>
      </c>
      <c r="E1097">
        <f t="shared" si="106"/>
        <v>0</v>
      </c>
      <c r="F1097" s="2">
        <f t="shared" si="107"/>
        <v>0</v>
      </c>
      <c r="G1097" s="2">
        <f t="shared" si="103"/>
        <v>15.648672234314407</v>
      </c>
      <c r="H1097" s="2">
        <f t="shared" si="104"/>
        <v>37.154013188978425</v>
      </c>
    </row>
    <row r="1098" spans="1:8" x14ac:dyDescent="0.3">
      <c r="A1098" s="1">
        <v>43648</v>
      </c>
      <c r="B1098">
        <v>10801.677734000001</v>
      </c>
      <c r="C1098" s="2">
        <f t="shared" si="102"/>
        <v>2.0650116702860544E-2</v>
      </c>
      <c r="D1098">
        <f t="shared" si="105"/>
        <v>11313.7341796</v>
      </c>
      <c r="E1098">
        <f t="shared" si="106"/>
        <v>0</v>
      </c>
      <c r="F1098" s="2">
        <f t="shared" si="107"/>
        <v>0</v>
      </c>
      <c r="G1098" s="2">
        <f t="shared" si="103"/>
        <v>15.971819142197813</v>
      </c>
      <c r="H1098" s="2">
        <f t="shared" si="104"/>
        <v>37.154013188978425</v>
      </c>
    </row>
    <row r="1099" spans="1:8" x14ac:dyDescent="0.3">
      <c r="A1099" s="1">
        <v>43649</v>
      </c>
      <c r="B1099">
        <v>11961.269531</v>
      </c>
      <c r="C1099" s="2">
        <f t="shared" si="102"/>
        <v>0.10735293401227852</v>
      </c>
      <c r="D1099">
        <f t="shared" si="105"/>
        <v>11224.521679599999</v>
      </c>
      <c r="E1099">
        <f t="shared" si="106"/>
        <v>1</v>
      </c>
      <c r="F1099" s="2">
        <f t="shared" si="107"/>
        <v>0</v>
      </c>
      <c r="G1099" s="2">
        <f t="shared" si="103"/>
        <v>17.686440788626221</v>
      </c>
      <c r="H1099" s="2">
        <f t="shared" si="104"/>
        <v>37.154013188978425</v>
      </c>
    </row>
    <row r="1100" spans="1:8" x14ac:dyDescent="0.3">
      <c r="A1100" s="1">
        <v>43650</v>
      </c>
      <c r="B1100">
        <v>11215.4375</v>
      </c>
      <c r="C1100" s="2">
        <f t="shared" si="102"/>
        <v>-6.2353918960443844E-2</v>
      </c>
      <c r="D1100">
        <f t="shared" si="105"/>
        <v>11075.7349608</v>
      </c>
      <c r="E1100">
        <f t="shared" si="106"/>
        <v>1</v>
      </c>
      <c r="F1100" s="2">
        <f t="shared" si="107"/>
        <v>-6.2353918960443844E-2</v>
      </c>
      <c r="G1100" s="2">
        <f t="shared" si="103"/>
        <v>16.583621892993534</v>
      </c>
      <c r="H1100" s="2">
        <f t="shared" si="104"/>
        <v>34.8373148615376</v>
      </c>
    </row>
    <row r="1101" spans="1:8" x14ac:dyDescent="0.3">
      <c r="A1101" s="1">
        <v>43651</v>
      </c>
      <c r="B1101">
        <v>10978.459961</v>
      </c>
      <c r="C1101" s="2">
        <f t="shared" si="102"/>
        <v>-2.1129584913651356E-2</v>
      </c>
      <c r="D1101">
        <f t="shared" si="105"/>
        <v>11107.9958984</v>
      </c>
      <c r="E1101">
        <f t="shared" si="106"/>
        <v>0</v>
      </c>
      <c r="F1101" s="2">
        <f t="shared" si="107"/>
        <v>-2.1129584913651356E-2</v>
      </c>
      <c r="G1101" s="2">
        <f t="shared" si="103"/>
        <v>16.233216846029638</v>
      </c>
      <c r="H1101" s="2">
        <f t="shared" si="104"/>
        <v>34.101216859007131</v>
      </c>
    </row>
    <row r="1102" spans="1:8" x14ac:dyDescent="0.3">
      <c r="A1102" s="1">
        <v>43652</v>
      </c>
      <c r="B1102">
        <v>11208.550781</v>
      </c>
      <c r="C1102" s="2">
        <f t="shared" si="102"/>
        <v>2.0958387680729107E-2</v>
      </c>
      <c r="D1102">
        <f t="shared" si="105"/>
        <v>11233.079101400001</v>
      </c>
      <c r="E1102">
        <f t="shared" si="106"/>
        <v>0</v>
      </c>
      <c r="F1102" s="2">
        <f t="shared" si="107"/>
        <v>0</v>
      </c>
      <c r="G1102" s="2">
        <f t="shared" si="103"/>
        <v>16.57343889799407</v>
      </c>
      <c r="H1102" s="2">
        <f t="shared" si="104"/>
        <v>34.101216859007131</v>
      </c>
    </row>
    <row r="1103" spans="1:8" x14ac:dyDescent="0.3">
      <c r="A1103" s="1">
        <v>43653</v>
      </c>
      <c r="B1103">
        <v>11450.846680000001</v>
      </c>
      <c r="C1103" s="2">
        <f t="shared" si="102"/>
        <v>2.1617058595186478E-2</v>
      </c>
      <c r="D1103">
        <f t="shared" si="105"/>
        <v>11362.912890600001</v>
      </c>
      <c r="E1103">
        <f t="shared" si="106"/>
        <v>1</v>
      </c>
      <c r="F1103" s="2">
        <f t="shared" si="107"/>
        <v>0</v>
      </c>
      <c r="G1103" s="2">
        <f t="shared" si="103"/>
        <v>16.931707897775752</v>
      </c>
      <c r="H1103" s="2">
        <f t="shared" si="104"/>
        <v>34.101216859007131</v>
      </c>
    </row>
    <row r="1104" spans="1:8" x14ac:dyDescent="0.3">
      <c r="A1104" s="1">
        <v>43654</v>
      </c>
      <c r="B1104">
        <v>12285.958008</v>
      </c>
      <c r="C1104" s="2">
        <f t="shared" si="102"/>
        <v>7.2930094283648161E-2</v>
      </c>
      <c r="D1104">
        <f t="shared" si="105"/>
        <v>11427.850586</v>
      </c>
      <c r="E1104">
        <f t="shared" si="106"/>
        <v>1</v>
      </c>
      <c r="F1104" s="2">
        <f t="shared" si="107"/>
        <v>7.2930094283648161E-2</v>
      </c>
      <c r="G1104" s="2">
        <f t="shared" si="103"/>
        <v>18.166538951143728</v>
      </c>
      <c r="H1104" s="2">
        <f t="shared" si="104"/>
        <v>36.588221819721653</v>
      </c>
    </row>
    <row r="1105" spans="1:8" x14ac:dyDescent="0.3">
      <c r="A1105" s="1">
        <v>43655</v>
      </c>
      <c r="B1105">
        <v>12573.8125</v>
      </c>
      <c r="C1105" s="2">
        <f t="shared" si="102"/>
        <v>2.3429551998514375E-2</v>
      </c>
      <c r="D1105">
        <f t="shared" si="105"/>
        <v>11699.525586</v>
      </c>
      <c r="E1105">
        <f t="shared" si="106"/>
        <v>1</v>
      </c>
      <c r="F1105" s="2">
        <f t="shared" si="107"/>
        <v>2.3429551998514375E-2</v>
      </c>
      <c r="G1105" s="2">
        <f t="shared" si="103"/>
        <v>18.592172820132586</v>
      </c>
      <c r="H1105" s="2">
        <f t="shared" si="104"/>
        <v>37.445467465379998</v>
      </c>
    </row>
    <row r="1106" spans="1:8" x14ac:dyDescent="0.3">
      <c r="A1106" s="1">
        <v>43656</v>
      </c>
      <c r="B1106">
        <v>12156.512694999999</v>
      </c>
      <c r="C1106" s="2">
        <f t="shared" si="102"/>
        <v>-3.3188009205640689E-2</v>
      </c>
      <c r="D1106">
        <f t="shared" si="105"/>
        <v>11935.1361328</v>
      </c>
      <c r="E1106">
        <f t="shared" si="106"/>
        <v>1</v>
      </c>
      <c r="F1106" s="2">
        <f t="shared" si="107"/>
        <v>-3.3188009205640689E-2</v>
      </c>
      <c r="G1106" s="2">
        <f t="shared" si="103"/>
        <v>17.975135617425163</v>
      </c>
      <c r="H1106" s="2">
        <f t="shared" si="104"/>
        <v>36.202726946429451</v>
      </c>
    </row>
    <row r="1107" spans="1:8" x14ac:dyDescent="0.3">
      <c r="A1107" s="1">
        <v>43657</v>
      </c>
      <c r="B1107">
        <v>11358.662109000001</v>
      </c>
      <c r="C1107" s="2">
        <f t="shared" si="102"/>
        <v>-6.5631534800943081E-2</v>
      </c>
      <c r="D1107">
        <f t="shared" si="105"/>
        <v>11965.158398399999</v>
      </c>
      <c r="E1107">
        <f t="shared" si="106"/>
        <v>0</v>
      </c>
      <c r="F1107" s="2">
        <f t="shared" si="107"/>
        <v>-6.5631534800943081E-2</v>
      </c>
      <c r="G1107" s="2">
        <f t="shared" si="103"/>
        <v>16.795399878598452</v>
      </c>
      <c r="H1107" s="2">
        <f t="shared" si="104"/>
        <v>33.826686412955823</v>
      </c>
    </row>
    <row r="1108" spans="1:8" x14ac:dyDescent="0.3">
      <c r="A1108" s="1">
        <v>43658</v>
      </c>
      <c r="B1108">
        <v>11815.986328000001</v>
      </c>
      <c r="C1108" s="2">
        <f t="shared" si="102"/>
        <v>4.0262155402760014E-2</v>
      </c>
      <c r="D1108">
        <f t="shared" si="105"/>
        <v>12038.186328</v>
      </c>
      <c r="E1108">
        <f t="shared" si="106"/>
        <v>0</v>
      </c>
      <c r="F1108" s="2">
        <f t="shared" si="107"/>
        <v>0</v>
      </c>
      <c r="G1108" s="2">
        <f t="shared" si="103"/>
        <v>17.471618878562079</v>
      </c>
      <c r="H1108" s="2">
        <f t="shared" si="104"/>
        <v>33.826686412955823</v>
      </c>
    </row>
    <row r="1109" spans="1:8" x14ac:dyDescent="0.3">
      <c r="A1109" s="1">
        <v>43659</v>
      </c>
      <c r="B1109">
        <v>11392.378906</v>
      </c>
      <c r="C1109" s="2">
        <f t="shared" si="102"/>
        <v>-3.5850364941282242E-2</v>
      </c>
      <c r="D1109">
        <f t="shared" si="105"/>
        <v>11859.470507599999</v>
      </c>
      <c r="E1109">
        <f t="shared" si="106"/>
        <v>0</v>
      </c>
      <c r="F1109" s="2">
        <f t="shared" si="107"/>
        <v>0</v>
      </c>
      <c r="G1109" s="2">
        <f t="shared" si="103"/>
        <v>16.845254965650632</v>
      </c>
      <c r="H1109" s="2">
        <f t="shared" si="104"/>
        <v>33.826686412955823</v>
      </c>
    </row>
    <row r="1110" spans="1:8" x14ac:dyDescent="0.3">
      <c r="A1110" s="1">
        <v>43660</v>
      </c>
      <c r="B1110">
        <v>10256.058594</v>
      </c>
      <c r="C1110" s="2">
        <f t="shared" si="102"/>
        <v>-9.9743900845988942E-2</v>
      </c>
      <c r="D1110">
        <f t="shared" si="105"/>
        <v>11395.919726399999</v>
      </c>
      <c r="E1110">
        <f t="shared" si="106"/>
        <v>0</v>
      </c>
      <c r="F1110" s="2">
        <f t="shared" si="107"/>
        <v>0</v>
      </c>
      <c r="G1110" s="2">
        <f t="shared" si="103"/>
        <v>15.165043524631372</v>
      </c>
      <c r="H1110" s="2">
        <f t="shared" si="104"/>
        <v>33.826686412955823</v>
      </c>
    </row>
    <row r="1111" spans="1:8" x14ac:dyDescent="0.3">
      <c r="A1111" s="1">
        <v>43661</v>
      </c>
      <c r="B1111">
        <v>10895.089844</v>
      </c>
      <c r="C1111" s="2">
        <f t="shared" si="102"/>
        <v>6.2307683223830956E-2</v>
      </c>
      <c r="D1111">
        <f t="shared" si="105"/>
        <v>11143.635156200002</v>
      </c>
      <c r="E1111">
        <f t="shared" si="106"/>
        <v>0</v>
      </c>
      <c r="F1111" s="2">
        <f t="shared" si="107"/>
        <v>0</v>
      </c>
      <c r="G1111" s="2">
        <f t="shared" si="103"/>
        <v>16.109942252639712</v>
      </c>
      <c r="H1111" s="2">
        <f t="shared" si="104"/>
        <v>33.826686412955823</v>
      </c>
    </row>
    <row r="1112" spans="1:8" x14ac:dyDescent="0.3">
      <c r="A1112" s="1">
        <v>43662</v>
      </c>
      <c r="B1112">
        <v>9477.6416019999997</v>
      </c>
      <c r="C1112" s="2">
        <f t="shared" si="102"/>
        <v>-0.13009972953831117</v>
      </c>
      <c r="D1112">
        <f t="shared" si="105"/>
        <v>10767.431054800001</v>
      </c>
      <c r="E1112">
        <f t="shared" si="106"/>
        <v>0</v>
      </c>
      <c r="F1112" s="2">
        <f t="shared" si="107"/>
        <v>0</v>
      </c>
      <c r="G1112" s="2">
        <f t="shared" si="103"/>
        <v>14.014043122693474</v>
      </c>
      <c r="H1112" s="2">
        <f t="shared" si="104"/>
        <v>33.826686412955823</v>
      </c>
    </row>
    <row r="1113" spans="1:8" x14ac:dyDescent="0.3">
      <c r="A1113" s="1">
        <v>43663</v>
      </c>
      <c r="B1113">
        <v>9693.8027340000008</v>
      </c>
      <c r="C1113" s="2">
        <f t="shared" si="102"/>
        <v>2.2807481130578511E-2</v>
      </c>
      <c r="D1113">
        <f t="shared" si="105"/>
        <v>10342.994336</v>
      </c>
      <c r="E1113">
        <f t="shared" si="106"/>
        <v>0</v>
      </c>
      <c r="F1113" s="2">
        <f t="shared" si="107"/>
        <v>0</v>
      </c>
      <c r="G1113" s="2">
        <f t="shared" si="103"/>
        <v>14.33366814677742</v>
      </c>
      <c r="H1113" s="2">
        <f t="shared" si="104"/>
        <v>33.826686412955823</v>
      </c>
    </row>
    <row r="1114" spans="1:8" x14ac:dyDescent="0.3">
      <c r="A1114" s="1">
        <v>43664</v>
      </c>
      <c r="B1114">
        <v>10666.482421999999</v>
      </c>
      <c r="C1114" s="2">
        <f t="shared" si="102"/>
        <v>0.10034036329091234</v>
      </c>
      <c r="D1114">
        <f t="shared" si="105"/>
        <v>10197.815039200001</v>
      </c>
      <c r="E1114">
        <f t="shared" si="106"/>
        <v>1</v>
      </c>
      <c r="F1114" s="2">
        <f t="shared" si="107"/>
        <v>0</v>
      </c>
      <c r="G1114" s="2">
        <f t="shared" si="103"/>
        <v>15.771913615916445</v>
      </c>
      <c r="H1114" s="2">
        <f t="shared" si="104"/>
        <v>33.826686412955823</v>
      </c>
    </row>
    <row r="1115" spans="1:8" x14ac:dyDescent="0.3">
      <c r="A1115" s="1">
        <v>43665</v>
      </c>
      <c r="B1115">
        <v>10530.732421999999</v>
      </c>
      <c r="C1115" s="2">
        <f t="shared" si="102"/>
        <v>-1.2726782328915776E-2</v>
      </c>
      <c r="D1115">
        <f t="shared" si="105"/>
        <v>10252.7498048</v>
      </c>
      <c r="E1115">
        <f t="shared" si="106"/>
        <v>1</v>
      </c>
      <c r="F1115" s="2">
        <f t="shared" si="107"/>
        <v>-1.2726782328915776E-2</v>
      </c>
      <c r="G1115" s="2">
        <f t="shared" si="103"/>
        <v>15.571187904416213</v>
      </c>
      <c r="H1115" s="2">
        <f t="shared" si="104"/>
        <v>33.396181538069641</v>
      </c>
    </row>
    <row r="1116" spans="1:8" x14ac:dyDescent="0.3">
      <c r="A1116" s="1">
        <v>43666</v>
      </c>
      <c r="B1116">
        <v>10767.139648</v>
      </c>
      <c r="C1116" s="2">
        <f t="shared" si="102"/>
        <v>2.2449267204446066E-2</v>
      </c>
      <c r="D1116">
        <f t="shared" si="105"/>
        <v>10227.159765599999</v>
      </c>
      <c r="E1116">
        <f t="shared" si="106"/>
        <v>1</v>
      </c>
      <c r="F1116" s="2">
        <f t="shared" si="107"/>
        <v>2.2449267204446066E-2</v>
      </c>
      <c r="G1116" s="2">
        <f t="shared" si="103"/>
        <v>15.92074966237309</v>
      </c>
      <c r="H1116" s="2">
        <f t="shared" si="104"/>
        <v>34.145901341025954</v>
      </c>
    </row>
    <row r="1117" spans="1:8" x14ac:dyDescent="0.3">
      <c r="A1117" s="1">
        <v>43667</v>
      </c>
      <c r="B1117">
        <v>10599.105469</v>
      </c>
      <c r="C1117" s="2">
        <f t="shared" si="102"/>
        <v>-1.5606204107440291E-2</v>
      </c>
      <c r="D1117">
        <f t="shared" si="105"/>
        <v>10451.452539</v>
      </c>
      <c r="E1117">
        <f t="shared" si="106"/>
        <v>1</v>
      </c>
      <c r="F1117" s="2">
        <f t="shared" si="107"/>
        <v>-1.5606204107440291E-2</v>
      </c>
      <c r="G1117" s="2">
        <f t="shared" si="103"/>
        <v>15.672287193598635</v>
      </c>
      <c r="H1117" s="2">
        <f t="shared" si="104"/>
        <v>33.613013435265387</v>
      </c>
    </row>
    <row r="1118" spans="1:8" x14ac:dyDescent="0.3">
      <c r="A1118" s="1">
        <v>43668</v>
      </c>
      <c r="B1118">
        <v>10343.106444999999</v>
      </c>
      <c r="C1118" s="2">
        <f t="shared" si="102"/>
        <v>-2.4152889576270375E-2</v>
      </c>
      <c r="D1118">
        <f t="shared" si="105"/>
        <v>10581.3132812</v>
      </c>
      <c r="E1118">
        <f t="shared" si="106"/>
        <v>0</v>
      </c>
      <c r="F1118" s="2">
        <f t="shared" si="107"/>
        <v>-2.4152889576270375E-2</v>
      </c>
      <c r="G1118" s="2">
        <f t="shared" si="103"/>
        <v>15.29375617160405</v>
      </c>
      <c r="H1118" s="2">
        <f t="shared" si="104"/>
        <v>32.801162033437727</v>
      </c>
    </row>
    <row r="1119" spans="1:8" x14ac:dyDescent="0.3">
      <c r="A1119" s="1">
        <v>43669</v>
      </c>
      <c r="B1119">
        <v>9900.7675780000009</v>
      </c>
      <c r="C1119" s="2">
        <f t="shared" si="102"/>
        <v>-4.2766539177775842E-2</v>
      </c>
      <c r="D1119">
        <f t="shared" si="105"/>
        <v>10428.1703124</v>
      </c>
      <c r="E1119">
        <f t="shared" si="106"/>
        <v>0</v>
      </c>
      <c r="F1119" s="2">
        <f t="shared" si="107"/>
        <v>0</v>
      </c>
      <c r="G1119" s="2">
        <f t="shared" si="103"/>
        <v>14.639695149115795</v>
      </c>
      <c r="H1119" s="2">
        <f t="shared" si="104"/>
        <v>32.801162033437727</v>
      </c>
    </row>
    <row r="1120" spans="1:8" x14ac:dyDescent="0.3">
      <c r="A1120" s="1">
        <v>43670</v>
      </c>
      <c r="B1120">
        <v>9811.9257809999999</v>
      </c>
      <c r="C1120" s="2">
        <f t="shared" si="102"/>
        <v>-8.9732231667989382E-3</v>
      </c>
      <c r="D1120">
        <f t="shared" si="105"/>
        <v>10284.408984199999</v>
      </c>
      <c r="E1120">
        <f t="shared" si="106"/>
        <v>0</v>
      </c>
      <c r="F1120" s="2">
        <f t="shared" si="107"/>
        <v>0</v>
      </c>
      <c r="G1120" s="2">
        <f t="shared" si="103"/>
        <v>14.508329897448876</v>
      </c>
      <c r="H1120" s="2">
        <f t="shared" si="104"/>
        <v>32.801162033437727</v>
      </c>
    </row>
    <row r="1121" spans="1:8" x14ac:dyDescent="0.3">
      <c r="A1121" s="1">
        <v>43671</v>
      </c>
      <c r="B1121">
        <v>9911.8417969999991</v>
      </c>
      <c r="C1121" s="2">
        <f t="shared" si="102"/>
        <v>1.0183119830918352E-2</v>
      </c>
      <c r="D1121">
        <f t="shared" si="105"/>
        <v>10113.349414</v>
      </c>
      <c r="E1121">
        <f t="shared" si="106"/>
        <v>0</v>
      </c>
      <c r="F1121" s="2">
        <f t="shared" si="107"/>
        <v>0</v>
      </c>
      <c r="G1121" s="2">
        <f t="shared" si="103"/>
        <v>14.656069959341092</v>
      </c>
      <c r="H1121" s="2">
        <f t="shared" si="104"/>
        <v>32.801162033437727</v>
      </c>
    </row>
    <row r="1122" spans="1:8" x14ac:dyDescent="0.3">
      <c r="A1122" s="1">
        <v>43672</v>
      </c>
      <c r="B1122">
        <v>9870.3037110000005</v>
      </c>
      <c r="C1122" s="2">
        <f t="shared" si="102"/>
        <v>-4.1907535300422794E-3</v>
      </c>
      <c r="D1122">
        <f t="shared" si="105"/>
        <v>9967.5890624000003</v>
      </c>
      <c r="E1122">
        <f t="shared" si="106"/>
        <v>0</v>
      </c>
      <c r="F1122" s="2">
        <f t="shared" si="107"/>
        <v>0</v>
      </c>
      <c r="G1122" s="2">
        <f t="shared" si="103"/>
        <v>14.594649982422437</v>
      </c>
      <c r="H1122" s="2">
        <f t="shared" si="104"/>
        <v>32.801162033437727</v>
      </c>
    </row>
    <row r="1123" spans="1:8" x14ac:dyDescent="0.3">
      <c r="A1123" s="1">
        <v>43673</v>
      </c>
      <c r="B1123">
        <v>9477.6777340000008</v>
      </c>
      <c r="C1123" s="2">
        <f t="shared" si="102"/>
        <v>-3.9778510215692342E-2</v>
      </c>
      <c r="D1123">
        <f t="shared" si="105"/>
        <v>9794.5033201999995</v>
      </c>
      <c r="E1123">
        <f t="shared" si="106"/>
        <v>0</v>
      </c>
      <c r="F1123" s="2">
        <f t="shared" si="107"/>
        <v>0</v>
      </c>
      <c r="G1123" s="2">
        <f t="shared" si="103"/>
        <v>14.014096549002192</v>
      </c>
      <c r="H1123" s="2">
        <f t="shared" si="104"/>
        <v>32.801162033437727</v>
      </c>
    </row>
    <row r="1124" spans="1:8" x14ac:dyDescent="0.3">
      <c r="A1124" s="1">
        <v>43674</v>
      </c>
      <c r="B1124">
        <v>9552.8603519999997</v>
      </c>
      <c r="C1124" s="2">
        <f t="shared" si="102"/>
        <v>7.9325991144740815E-3</v>
      </c>
      <c r="D1124">
        <f t="shared" si="105"/>
        <v>9724.921875</v>
      </c>
      <c r="E1124">
        <f t="shared" si="106"/>
        <v>0</v>
      </c>
      <c r="F1124" s="2">
        <f t="shared" si="107"/>
        <v>0</v>
      </c>
      <c r="G1124" s="2">
        <f t="shared" si="103"/>
        <v>14.125264758876961</v>
      </c>
      <c r="H1124" s="2">
        <f t="shared" si="104"/>
        <v>32.801162033437727</v>
      </c>
    </row>
    <row r="1125" spans="1:8" x14ac:dyDescent="0.3">
      <c r="A1125" s="1">
        <v>43675</v>
      </c>
      <c r="B1125">
        <v>9519.1455079999996</v>
      </c>
      <c r="C1125" s="2">
        <f t="shared" si="102"/>
        <v>-3.529293086854457E-3</v>
      </c>
      <c r="D1125">
        <f t="shared" si="105"/>
        <v>9666.3658204000003</v>
      </c>
      <c r="E1125">
        <f t="shared" si="106"/>
        <v>0</v>
      </c>
      <c r="F1125" s="2">
        <f t="shared" si="107"/>
        <v>0</v>
      </c>
      <c r="G1125" s="2">
        <f t="shared" si="103"/>
        <v>14.075412559613467</v>
      </c>
      <c r="H1125" s="2">
        <f t="shared" si="104"/>
        <v>32.801162033437727</v>
      </c>
    </row>
    <row r="1126" spans="1:8" x14ac:dyDescent="0.3">
      <c r="A1126" s="1">
        <v>43676</v>
      </c>
      <c r="B1126">
        <v>9607.4238280000009</v>
      </c>
      <c r="C1126" s="2">
        <f t="shared" si="102"/>
        <v>9.273765163670511E-3</v>
      </c>
      <c r="D1126">
        <f t="shared" si="105"/>
        <v>9605.482226600001</v>
      </c>
      <c r="E1126">
        <f t="shared" si="106"/>
        <v>1</v>
      </c>
      <c r="F1126" s="2">
        <f t="shared" si="107"/>
        <v>0</v>
      </c>
      <c r="G1126" s="2">
        <f t="shared" si="103"/>
        <v>14.2059446302731</v>
      </c>
      <c r="H1126" s="2">
        <f t="shared" si="104"/>
        <v>32.801162033437727</v>
      </c>
    </row>
    <row r="1127" spans="1:8" x14ac:dyDescent="0.3">
      <c r="A1127" s="1">
        <v>43677</v>
      </c>
      <c r="B1127">
        <v>10085.627930000001</v>
      </c>
      <c r="C1127" s="2">
        <f t="shared" si="102"/>
        <v>4.9774435952988361E-2</v>
      </c>
      <c r="D1127">
        <f t="shared" si="105"/>
        <v>9648.5470703999999</v>
      </c>
      <c r="E1127">
        <f t="shared" si="106"/>
        <v>1</v>
      </c>
      <c r="F1127" s="2">
        <f t="shared" si="107"/>
        <v>4.9774435952988361E-2</v>
      </c>
      <c r="G1127" s="2">
        <f t="shared" si="103"/>
        <v>14.913037511424328</v>
      </c>
      <c r="H1127" s="2">
        <f t="shared" si="104"/>
        <v>34.43382137225467</v>
      </c>
    </row>
    <row r="1128" spans="1:8" x14ac:dyDescent="0.3">
      <c r="A1128" s="1">
        <v>43678</v>
      </c>
      <c r="B1128">
        <v>10399.668944999999</v>
      </c>
      <c r="C1128" s="2">
        <f t="shared" si="102"/>
        <v>3.1137477723709672E-2</v>
      </c>
      <c r="D1128">
        <f t="shared" si="105"/>
        <v>9832.9453125999989</v>
      </c>
      <c r="E1128">
        <f t="shared" si="106"/>
        <v>1</v>
      </c>
      <c r="F1128" s="2">
        <f t="shared" si="107"/>
        <v>3.1137477723709672E-2</v>
      </c>
      <c r="G1128" s="2">
        <f t="shared" si="103"/>
        <v>15.37739188472915</v>
      </c>
      <c r="H1128" s="2">
        <f t="shared" si="104"/>
        <v>35.50600371817545</v>
      </c>
    </row>
    <row r="1129" spans="1:8" x14ac:dyDescent="0.3">
      <c r="A1129" s="1">
        <v>43679</v>
      </c>
      <c r="B1129">
        <v>10518.174805000001</v>
      </c>
      <c r="C1129" s="2">
        <f t="shared" si="102"/>
        <v>1.1395156963816433E-2</v>
      </c>
      <c r="D1129">
        <f t="shared" si="105"/>
        <v>10026.008203200001</v>
      </c>
      <c r="E1129">
        <f t="shared" si="106"/>
        <v>1</v>
      </c>
      <c r="F1129" s="2">
        <f t="shared" si="107"/>
        <v>1.1395156963816433E-2</v>
      </c>
      <c r="G1129" s="2">
        <f t="shared" si="103"/>
        <v>15.552619678949755</v>
      </c>
      <c r="H1129" s="2">
        <f t="shared" si="104"/>
        <v>35.910600203701911</v>
      </c>
    </row>
    <row r="1130" spans="1:8" x14ac:dyDescent="0.3">
      <c r="A1130" s="1">
        <v>43680</v>
      </c>
      <c r="B1130">
        <v>10821.726563</v>
      </c>
      <c r="C1130" s="2">
        <f t="shared" si="102"/>
        <v>2.8859736943685377E-2</v>
      </c>
      <c r="D1130">
        <f t="shared" si="105"/>
        <v>10286.524414200001</v>
      </c>
      <c r="E1130">
        <f t="shared" si="106"/>
        <v>1</v>
      </c>
      <c r="F1130" s="2">
        <f t="shared" si="107"/>
        <v>2.8859736943685377E-2</v>
      </c>
      <c r="G1130" s="2">
        <f t="shared" si="103"/>
        <v>16.001464191669431</v>
      </c>
      <c r="H1130" s="2">
        <f t="shared" si="104"/>
        <v>36.946970679070603</v>
      </c>
    </row>
    <row r="1131" spans="1:8" x14ac:dyDescent="0.3">
      <c r="A1131" s="1">
        <v>43681</v>
      </c>
      <c r="B1131">
        <v>10970.184569999999</v>
      </c>
      <c r="C1131" s="2">
        <f t="shared" si="102"/>
        <v>1.3718513966854751E-2</v>
      </c>
      <c r="D1131">
        <f t="shared" si="105"/>
        <v>10559.076562600001</v>
      </c>
      <c r="E1131">
        <f t="shared" si="106"/>
        <v>1</v>
      </c>
      <c r="F1131" s="2">
        <f t="shared" si="107"/>
        <v>1.3718513966854751E-2</v>
      </c>
      <c r="G1131" s="2">
        <f t="shared" si="103"/>
        <v>16.220980501672972</v>
      </c>
      <c r="H1131" s="2">
        <f t="shared" si="104"/>
        <v>37.453828212364407</v>
      </c>
    </row>
    <row r="1132" spans="1:8" x14ac:dyDescent="0.3">
      <c r="A1132" s="1">
        <v>43682</v>
      </c>
      <c r="B1132">
        <v>11805.653319999999</v>
      </c>
      <c r="C1132" s="2">
        <f t="shared" si="102"/>
        <v>7.6158130674003788E-2</v>
      </c>
      <c r="D1132">
        <f t="shared" si="105"/>
        <v>10903.081640599999</v>
      </c>
      <c r="E1132">
        <f t="shared" si="106"/>
        <v>1</v>
      </c>
      <c r="F1132" s="2">
        <f t="shared" si="107"/>
        <v>7.6158130674003788E-2</v>
      </c>
      <c r="G1132" s="2">
        <f t="shared" si="103"/>
        <v>17.456340054379851</v>
      </c>
      <c r="H1132" s="2">
        <f t="shared" si="104"/>
        <v>40.306241755603345</v>
      </c>
    </row>
    <row r="1133" spans="1:8" x14ac:dyDescent="0.3">
      <c r="A1133" s="1">
        <v>43683</v>
      </c>
      <c r="B1133">
        <v>11478.168944999999</v>
      </c>
      <c r="C1133" s="2">
        <f t="shared" si="102"/>
        <v>-2.7739623223155929E-2</v>
      </c>
      <c r="D1133">
        <f t="shared" si="105"/>
        <v>11118.781640599998</v>
      </c>
      <c r="E1133">
        <f t="shared" si="106"/>
        <v>1</v>
      </c>
      <c r="F1133" s="2">
        <f t="shared" si="107"/>
        <v>-2.7739623223155929E-2</v>
      </c>
      <c r="G1133" s="2">
        <f t="shared" si="103"/>
        <v>16.972107758416069</v>
      </c>
      <c r="H1133" s="2">
        <f t="shared" si="104"/>
        <v>39.188161795761474</v>
      </c>
    </row>
    <row r="1134" spans="1:8" x14ac:dyDescent="0.3">
      <c r="A1134" s="1">
        <v>43684</v>
      </c>
      <c r="B1134">
        <v>11941.96875</v>
      </c>
      <c r="C1134" s="2">
        <f t="shared" si="102"/>
        <v>4.0407124796854932E-2</v>
      </c>
      <c r="D1134">
        <f t="shared" si="105"/>
        <v>11403.5404296</v>
      </c>
      <c r="E1134">
        <f t="shared" si="106"/>
        <v>1</v>
      </c>
      <c r="F1134" s="2">
        <f t="shared" si="107"/>
        <v>4.0407124796854932E-2</v>
      </c>
      <c r="G1134" s="2">
        <f t="shared" si="103"/>
        <v>17.657901834676057</v>
      </c>
      <c r="H1134" s="2">
        <f t="shared" si="104"/>
        <v>40.77164274000215</v>
      </c>
    </row>
    <row r="1135" spans="1:8" x14ac:dyDescent="0.3">
      <c r="A1135" s="1">
        <v>43685</v>
      </c>
      <c r="B1135">
        <v>11966.407227</v>
      </c>
      <c r="C1135" s="2">
        <f t="shared" si="102"/>
        <v>2.0464361875005554E-3</v>
      </c>
      <c r="D1135">
        <f t="shared" si="105"/>
        <v>11632.476562399999</v>
      </c>
      <c r="E1135">
        <f t="shared" si="106"/>
        <v>1</v>
      </c>
      <c r="F1135" s="2">
        <f t="shared" si="107"/>
        <v>2.0464361875005554E-3</v>
      </c>
      <c r="G1135" s="2">
        <f t="shared" si="103"/>
        <v>17.694037603985869</v>
      </c>
      <c r="H1135" s="2">
        <f t="shared" si="104"/>
        <v>40.855079305129138</v>
      </c>
    </row>
    <row r="1136" spans="1:8" x14ac:dyDescent="0.3">
      <c r="A1136" s="1">
        <v>43686</v>
      </c>
      <c r="B1136">
        <v>11862.936523</v>
      </c>
      <c r="C1136" s="2">
        <f t="shared" si="102"/>
        <v>-8.6467643994713184E-3</v>
      </c>
      <c r="D1136">
        <f t="shared" si="105"/>
        <v>11811.026952999999</v>
      </c>
      <c r="E1136">
        <f t="shared" si="106"/>
        <v>1</v>
      </c>
      <c r="F1136" s="2">
        <f t="shared" si="107"/>
        <v>-8.6467643994713184E-3</v>
      </c>
      <c r="G1136" s="2">
        <f t="shared" si="103"/>
        <v>17.541041429548816</v>
      </c>
      <c r="H1136" s="2">
        <f t="shared" si="104"/>
        <v>40.501815059855971</v>
      </c>
    </row>
    <row r="1137" spans="1:8" x14ac:dyDescent="0.3">
      <c r="A1137" s="1">
        <v>43687</v>
      </c>
      <c r="B1137">
        <v>11354.024414</v>
      </c>
      <c r="C1137" s="2">
        <f t="shared" si="102"/>
        <v>-4.2899336771575536E-2</v>
      </c>
      <c r="D1137">
        <f t="shared" si="105"/>
        <v>11720.701171799999</v>
      </c>
      <c r="E1137">
        <f t="shared" si="106"/>
        <v>0</v>
      </c>
      <c r="F1137" s="2">
        <f t="shared" si="107"/>
        <v>-4.2899336771575536E-2</v>
      </c>
      <c r="G1137" s="2">
        <f t="shared" si="103"/>
        <v>16.788542385938442</v>
      </c>
      <c r="H1137" s="2">
        <f t="shared" si="104"/>
        <v>38.764314055743142</v>
      </c>
    </row>
    <row r="1138" spans="1:8" x14ac:dyDescent="0.3">
      <c r="A1138" s="1">
        <v>43688</v>
      </c>
      <c r="B1138">
        <v>11523.579102</v>
      </c>
      <c r="C1138" s="2">
        <f t="shared" si="102"/>
        <v>1.4933444021040909E-2</v>
      </c>
      <c r="D1138">
        <f t="shared" si="105"/>
        <v>11729.783203200001</v>
      </c>
      <c r="E1138">
        <f t="shared" si="106"/>
        <v>0</v>
      </c>
      <c r="F1138" s="2">
        <f t="shared" si="107"/>
        <v>0</v>
      </c>
      <c r="G1138" s="2">
        <f t="shared" si="103"/>
        <v>17.039253143853728</v>
      </c>
      <c r="H1138" s="2">
        <f t="shared" si="104"/>
        <v>38.764314055743142</v>
      </c>
    </row>
    <row r="1139" spans="1:8" x14ac:dyDescent="0.3">
      <c r="A1139" s="1">
        <v>43689</v>
      </c>
      <c r="B1139">
        <v>11382.616211</v>
      </c>
      <c r="C1139" s="2">
        <f t="shared" si="102"/>
        <v>-1.2232561581109302E-2</v>
      </c>
      <c r="D1139">
        <f t="shared" si="105"/>
        <v>11617.9126954</v>
      </c>
      <c r="E1139">
        <f t="shared" si="106"/>
        <v>0</v>
      </c>
      <c r="F1139" s="2">
        <f t="shared" si="107"/>
        <v>0</v>
      </c>
      <c r="G1139" s="2">
        <f t="shared" si="103"/>
        <v>16.830819430475426</v>
      </c>
      <c r="H1139" s="2">
        <f t="shared" si="104"/>
        <v>38.764314055743142</v>
      </c>
    </row>
    <row r="1140" spans="1:8" x14ac:dyDescent="0.3">
      <c r="A1140" s="1">
        <v>43690</v>
      </c>
      <c r="B1140">
        <v>10895.830078000001</v>
      </c>
      <c r="C1140" s="2">
        <f t="shared" si="102"/>
        <v>-4.2765751210128378E-2</v>
      </c>
      <c r="D1140">
        <f t="shared" si="105"/>
        <v>11403.7972656</v>
      </c>
      <c r="E1140">
        <f t="shared" si="106"/>
        <v>0</v>
      </c>
      <c r="F1140" s="2">
        <f t="shared" si="107"/>
        <v>0</v>
      </c>
      <c r="G1140" s="2">
        <f t="shared" si="103"/>
        <v>16.11103679404912</v>
      </c>
      <c r="H1140" s="2">
        <f t="shared" si="104"/>
        <v>38.764314055743142</v>
      </c>
    </row>
    <row r="1141" spans="1:8" x14ac:dyDescent="0.3">
      <c r="A1141" s="1">
        <v>43691</v>
      </c>
      <c r="B1141">
        <v>10051.704102</v>
      </c>
      <c r="C1141" s="2">
        <f t="shared" si="102"/>
        <v>-7.7472388056454178E-2</v>
      </c>
      <c r="D1141">
        <f t="shared" si="105"/>
        <v>11041.550781400001</v>
      </c>
      <c r="E1141">
        <f t="shared" si="106"/>
        <v>0</v>
      </c>
      <c r="F1141" s="2">
        <f t="shared" si="107"/>
        <v>0</v>
      </c>
      <c r="G1141" s="2">
        <f t="shared" si="103"/>
        <v>14.862876299548736</v>
      </c>
      <c r="H1141" s="2">
        <f t="shared" si="104"/>
        <v>38.764314055743142</v>
      </c>
    </row>
    <row r="1142" spans="1:8" x14ac:dyDescent="0.3">
      <c r="A1142" s="1">
        <v>43692</v>
      </c>
      <c r="B1142">
        <v>10311.545898</v>
      </c>
      <c r="C1142" s="2">
        <f t="shared" si="102"/>
        <v>2.585052179841818E-2</v>
      </c>
      <c r="D1142">
        <f t="shared" si="105"/>
        <v>10833.055078200001</v>
      </c>
      <c r="E1142">
        <f t="shared" si="106"/>
        <v>0</v>
      </c>
      <c r="F1142" s="2">
        <f t="shared" si="107"/>
        <v>0</v>
      </c>
      <c r="G1142" s="2">
        <f t="shared" si="103"/>
        <v>15.247089407317414</v>
      </c>
      <c r="H1142" s="2">
        <f t="shared" si="104"/>
        <v>38.764314055743142</v>
      </c>
    </row>
    <row r="1143" spans="1:8" x14ac:dyDescent="0.3">
      <c r="A1143" s="1">
        <v>43693</v>
      </c>
      <c r="B1143">
        <v>10374.338867</v>
      </c>
      <c r="C1143" s="2">
        <f t="shared" si="102"/>
        <v>6.0895785773673605E-3</v>
      </c>
      <c r="D1143">
        <f t="shared" si="105"/>
        <v>10603.2070312</v>
      </c>
      <c r="E1143">
        <f t="shared" si="106"/>
        <v>0</v>
      </c>
      <c r="F1143" s="2">
        <f t="shared" si="107"/>
        <v>0</v>
      </c>
      <c r="G1143" s="2">
        <f t="shared" si="103"/>
        <v>15.339937756339419</v>
      </c>
      <c r="H1143" s="2">
        <f t="shared" si="104"/>
        <v>38.764314055743142</v>
      </c>
    </row>
    <row r="1144" spans="1:8" x14ac:dyDescent="0.3">
      <c r="A1144" s="1">
        <v>43694</v>
      </c>
      <c r="B1144">
        <v>10231.744140999999</v>
      </c>
      <c r="C1144" s="2">
        <f t="shared" si="102"/>
        <v>-1.37449458541965E-2</v>
      </c>
      <c r="D1144">
        <f t="shared" si="105"/>
        <v>10373.0326172</v>
      </c>
      <c r="E1144">
        <f t="shared" si="106"/>
        <v>0</v>
      </c>
      <c r="F1144" s="2">
        <f t="shared" si="107"/>
        <v>0</v>
      </c>
      <c r="G1144" s="2">
        <f t="shared" si="103"/>
        <v>15.129091142471788</v>
      </c>
      <c r="H1144" s="2">
        <f t="shared" si="104"/>
        <v>38.764314055743142</v>
      </c>
    </row>
    <row r="1145" spans="1:8" x14ac:dyDescent="0.3">
      <c r="A1145" s="1">
        <v>43695</v>
      </c>
      <c r="B1145">
        <v>10345.810546999999</v>
      </c>
      <c r="C1145" s="2">
        <f t="shared" si="102"/>
        <v>1.1148285612706088E-2</v>
      </c>
      <c r="D1145">
        <f t="shared" si="105"/>
        <v>10263.028711000001</v>
      </c>
      <c r="E1145">
        <f t="shared" si="106"/>
        <v>1</v>
      </c>
      <c r="F1145" s="2">
        <f t="shared" si="107"/>
        <v>0</v>
      </c>
      <c r="G1145" s="2">
        <f t="shared" si="103"/>
        <v>15.297754571588726</v>
      </c>
      <c r="H1145" s="2">
        <f t="shared" si="104"/>
        <v>38.764314055743142</v>
      </c>
    </row>
    <row r="1146" spans="1:8" x14ac:dyDescent="0.3">
      <c r="A1146" s="1">
        <v>43696</v>
      </c>
      <c r="B1146">
        <v>10916.053711</v>
      </c>
      <c r="C1146" s="2">
        <f t="shared" si="102"/>
        <v>5.5118268540627513E-2</v>
      </c>
      <c r="D1146">
        <f t="shared" si="105"/>
        <v>10435.898632799999</v>
      </c>
      <c r="E1146">
        <f t="shared" si="106"/>
        <v>1</v>
      </c>
      <c r="F1146" s="2">
        <f t="shared" si="107"/>
        <v>5.5118268540627513E-2</v>
      </c>
      <c r="G1146" s="2">
        <f t="shared" si="103"/>
        <v>16.140940316134166</v>
      </c>
      <c r="H1146" s="2">
        <f t="shared" si="104"/>
        <v>40.900935927660811</v>
      </c>
    </row>
    <row r="1147" spans="1:8" x14ac:dyDescent="0.3">
      <c r="A1147" s="1">
        <v>43697</v>
      </c>
      <c r="B1147">
        <v>10763.232421999999</v>
      </c>
      <c r="C1147" s="2">
        <f t="shared" si="102"/>
        <v>-1.3999682765027499E-2</v>
      </c>
      <c r="D1147">
        <f t="shared" si="105"/>
        <v>10526.2359376</v>
      </c>
      <c r="E1147">
        <f t="shared" si="106"/>
        <v>1</v>
      </c>
      <c r="F1147" s="2">
        <f t="shared" si="107"/>
        <v>-1.3999682765027499E-2</v>
      </c>
      <c r="G1147" s="2">
        <f t="shared" si="103"/>
        <v>15.914972272179046</v>
      </c>
      <c r="H1147" s="2">
        <f t="shared" si="104"/>
        <v>40.328335799880847</v>
      </c>
    </row>
    <row r="1148" spans="1:8" x14ac:dyDescent="0.3">
      <c r="A1148" s="1">
        <v>43698</v>
      </c>
      <c r="B1148">
        <v>10138.049805000001</v>
      </c>
      <c r="C1148" s="2">
        <f t="shared" si="102"/>
        <v>-5.808502432058682E-2</v>
      </c>
      <c r="D1148">
        <f t="shared" si="105"/>
        <v>10478.978125199999</v>
      </c>
      <c r="E1148">
        <f t="shared" si="106"/>
        <v>0</v>
      </c>
      <c r="F1148" s="2">
        <f t="shared" si="107"/>
        <v>-5.808502432058682E-2</v>
      </c>
      <c r="G1148" s="2">
        <f t="shared" si="103"/>
        <v>14.990550720688061</v>
      </c>
      <c r="H1148" s="2">
        <f t="shared" si="104"/>
        <v>37.985863434135979</v>
      </c>
    </row>
    <row r="1149" spans="1:8" x14ac:dyDescent="0.3">
      <c r="A1149" s="1">
        <v>43699</v>
      </c>
      <c r="B1149">
        <v>10131.055664</v>
      </c>
      <c r="C1149" s="2">
        <f t="shared" si="102"/>
        <v>-6.898901795245882E-4</v>
      </c>
      <c r="D1149">
        <f t="shared" si="105"/>
        <v>10458.8404298</v>
      </c>
      <c r="E1149">
        <f t="shared" si="106"/>
        <v>0</v>
      </c>
      <c r="F1149" s="2">
        <f t="shared" si="107"/>
        <v>0</v>
      </c>
      <c r="G1149" s="2">
        <f t="shared" si="103"/>
        <v>14.980208886960193</v>
      </c>
      <c r="H1149" s="2">
        <f t="shared" si="104"/>
        <v>37.985863434135979</v>
      </c>
    </row>
    <row r="1150" spans="1:8" x14ac:dyDescent="0.3">
      <c r="A1150" s="1">
        <v>43700</v>
      </c>
      <c r="B1150">
        <v>10407.964844</v>
      </c>
      <c r="C1150" s="2">
        <f t="shared" si="102"/>
        <v>2.73327073884293E-2</v>
      </c>
      <c r="D1150">
        <f t="shared" si="105"/>
        <v>10471.271289200002</v>
      </c>
      <c r="E1150">
        <f t="shared" si="106"/>
        <v>0</v>
      </c>
      <c r="F1150" s="2">
        <f t="shared" si="107"/>
        <v>0</v>
      </c>
      <c r="G1150" s="2">
        <f t="shared" si="103"/>
        <v>15.389658553085024</v>
      </c>
      <c r="H1150" s="2">
        <f t="shared" si="104"/>
        <v>37.985863434135979</v>
      </c>
    </row>
    <row r="1151" spans="1:8" x14ac:dyDescent="0.3">
      <c r="A1151" s="1">
        <v>43701</v>
      </c>
      <c r="B1151">
        <v>10159.960938</v>
      </c>
      <c r="C1151" s="2">
        <f t="shared" si="102"/>
        <v>-2.3828280525271861E-2</v>
      </c>
      <c r="D1151">
        <f t="shared" si="105"/>
        <v>10320.052734599998</v>
      </c>
      <c r="E1151">
        <f t="shared" si="106"/>
        <v>0</v>
      </c>
      <c r="F1151" s="2">
        <f t="shared" si="107"/>
        <v>0</v>
      </c>
      <c r="G1151" s="2">
        <f t="shared" si="103"/>
        <v>15.022949451893965</v>
      </c>
      <c r="H1151" s="2">
        <f t="shared" si="104"/>
        <v>37.985863434135979</v>
      </c>
    </row>
    <row r="1152" spans="1:8" x14ac:dyDescent="0.3">
      <c r="A1152" s="1">
        <v>43702</v>
      </c>
      <c r="B1152">
        <v>10138.517578000001</v>
      </c>
      <c r="C1152" s="2">
        <f t="shared" si="102"/>
        <v>-2.110575043630103E-3</v>
      </c>
      <c r="D1152">
        <f t="shared" si="105"/>
        <v>10195.109765800002</v>
      </c>
      <c r="E1152">
        <f t="shared" si="106"/>
        <v>0</v>
      </c>
      <c r="F1152" s="2">
        <f t="shared" si="107"/>
        <v>0</v>
      </c>
      <c r="G1152" s="2">
        <f t="shared" si="103"/>
        <v>14.99124238969908</v>
      </c>
      <c r="H1152" s="2">
        <f t="shared" si="104"/>
        <v>37.985863434135979</v>
      </c>
    </row>
    <row r="1153" spans="1:8" x14ac:dyDescent="0.3">
      <c r="A1153" s="1">
        <v>43703</v>
      </c>
      <c r="B1153">
        <v>10370.820313</v>
      </c>
      <c r="C1153" s="2">
        <f t="shared" si="102"/>
        <v>2.291288970135863E-2</v>
      </c>
      <c r="D1153">
        <f t="shared" si="105"/>
        <v>10241.663867400002</v>
      </c>
      <c r="E1153">
        <f t="shared" si="106"/>
        <v>1</v>
      </c>
      <c r="F1153" s="2">
        <f t="shared" si="107"/>
        <v>0</v>
      </c>
      <c r="G1153" s="2">
        <f t="shared" si="103"/>
        <v>15.334735073060587</v>
      </c>
      <c r="H1153" s="2">
        <f t="shared" si="104"/>
        <v>37.985863434135979</v>
      </c>
    </row>
    <row r="1154" spans="1:8" x14ac:dyDescent="0.3">
      <c r="A1154" s="1">
        <v>43704</v>
      </c>
      <c r="B1154">
        <v>10185.5</v>
      </c>
      <c r="C1154" s="2">
        <f t="shared" si="102"/>
        <v>-1.7869397733918713E-2</v>
      </c>
      <c r="D1154">
        <f t="shared" si="105"/>
        <v>10252.552734599998</v>
      </c>
      <c r="E1154">
        <f t="shared" si="106"/>
        <v>0</v>
      </c>
      <c r="F1154" s="2">
        <f t="shared" si="107"/>
        <v>-1.7869397733918713E-2</v>
      </c>
      <c r="G1154" s="2">
        <f t="shared" si="103"/>
        <v>15.060712592895795</v>
      </c>
      <c r="H1154" s="2">
        <f t="shared" si="104"/>
        <v>37.307078932165084</v>
      </c>
    </row>
    <row r="1155" spans="1:8" x14ac:dyDescent="0.3">
      <c r="A1155" s="1">
        <v>43705</v>
      </c>
      <c r="B1155">
        <v>9754.4228519999997</v>
      </c>
      <c r="C1155" s="2">
        <f t="shared" si="102"/>
        <v>-4.2322630013254203E-2</v>
      </c>
      <c r="D1155">
        <f t="shared" si="105"/>
        <v>10121.844336200002</v>
      </c>
      <c r="E1155">
        <f t="shared" si="106"/>
        <v>0</v>
      </c>
      <c r="F1155" s="2">
        <f t="shared" si="107"/>
        <v>0</v>
      </c>
      <c r="G1155" s="2">
        <f t="shared" si="103"/>
        <v>14.423303626090709</v>
      </c>
      <c r="H1155" s="2">
        <f t="shared" si="104"/>
        <v>37.307078932165084</v>
      </c>
    </row>
    <row r="1156" spans="1:8" x14ac:dyDescent="0.3">
      <c r="A1156" s="1">
        <v>43706</v>
      </c>
      <c r="B1156">
        <v>9510.2001949999994</v>
      </c>
      <c r="C1156" s="2">
        <f t="shared" ref="C1156:C1219" si="108">B1156/B1155-1</f>
        <v>-2.5037120156209514E-2</v>
      </c>
      <c r="D1156">
        <f t="shared" si="105"/>
        <v>9991.8921876000004</v>
      </c>
      <c r="E1156">
        <f t="shared" si="106"/>
        <v>0</v>
      </c>
      <c r="F1156" s="2">
        <f t="shared" si="107"/>
        <v>0</v>
      </c>
      <c r="G1156" s="2">
        <f t="shared" ref="G1156:G1219" si="109">(1+C1156)*G1155</f>
        <v>14.062185640154784</v>
      </c>
      <c r="H1156" s="2">
        <f t="shared" ref="H1156:H1219" si="110">(1+F1156)*H1155</f>
        <v>37.307078932165084</v>
      </c>
    </row>
    <row r="1157" spans="1:8" x14ac:dyDescent="0.3">
      <c r="A1157" s="1">
        <v>43707</v>
      </c>
      <c r="B1157">
        <v>9598.1738280000009</v>
      </c>
      <c r="C1157" s="2">
        <f t="shared" si="108"/>
        <v>9.250450168888591E-3</v>
      </c>
      <c r="D1157">
        <f t="shared" si="105"/>
        <v>9883.8234376</v>
      </c>
      <c r="E1157">
        <f t="shared" si="106"/>
        <v>0</v>
      </c>
      <c r="F1157" s="2">
        <f t="shared" si="107"/>
        <v>0</v>
      </c>
      <c r="G1157" s="2">
        <f t="shared" si="109"/>
        <v>14.192267187684696</v>
      </c>
      <c r="H1157" s="2">
        <f t="shared" si="110"/>
        <v>37.307078932165084</v>
      </c>
    </row>
    <row r="1158" spans="1:8" x14ac:dyDescent="0.3">
      <c r="A1158" s="1">
        <v>43708</v>
      </c>
      <c r="B1158">
        <v>9630.6640630000002</v>
      </c>
      <c r="C1158" s="2">
        <f t="shared" si="108"/>
        <v>3.3850434032793864E-3</v>
      </c>
      <c r="D1158">
        <f t="shared" si="105"/>
        <v>9735.7921876</v>
      </c>
      <c r="E1158">
        <f t="shared" si="106"/>
        <v>0</v>
      </c>
      <c r="F1158" s="2">
        <f t="shared" si="107"/>
        <v>0</v>
      </c>
      <c r="G1158" s="2">
        <f t="shared" si="109"/>
        <v>14.240308628105947</v>
      </c>
      <c r="H1158" s="2">
        <f t="shared" si="110"/>
        <v>37.307078932165084</v>
      </c>
    </row>
    <row r="1159" spans="1:8" x14ac:dyDescent="0.3">
      <c r="A1159" s="1">
        <v>43709</v>
      </c>
      <c r="B1159">
        <v>9757.9707030000009</v>
      </c>
      <c r="C1159" s="2">
        <f t="shared" si="108"/>
        <v>1.3218884924986574E-2</v>
      </c>
      <c r="D1159">
        <f t="shared" ref="D1159:D1222" si="111">AVERAGE(B1155:B1159)</f>
        <v>9650.2863281999998</v>
      </c>
      <c r="E1159">
        <f t="shared" ref="E1159:E1222" si="112">IF(B1159&gt;D1159,1,0)</f>
        <v>1</v>
      </c>
      <c r="F1159" s="2">
        <f t="shared" si="107"/>
        <v>0</v>
      </c>
      <c r="G1159" s="2">
        <f t="shared" si="109"/>
        <v>14.428549629157173</v>
      </c>
      <c r="H1159" s="2">
        <f t="shared" si="110"/>
        <v>37.307078932165084</v>
      </c>
    </row>
    <row r="1160" spans="1:8" x14ac:dyDescent="0.3">
      <c r="A1160" s="1">
        <v>43710</v>
      </c>
      <c r="B1160">
        <v>10346.760742</v>
      </c>
      <c r="C1160" s="2">
        <f t="shared" si="108"/>
        <v>6.0339394011398317E-2</v>
      </c>
      <c r="D1160">
        <f t="shared" si="111"/>
        <v>9768.7539061999996</v>
      </c>
      <c r="E1160">
        <f t="shared" si="112"/>
        <v>1</v>
      </c>
      <c r="F1160" s="2">
        <f t="shared" ref="F1160:F1223" si="113">E1159*C1160</f>
        <v>6.0339394011398317E-2</v>
      </c>
      <c r="G1160" s="2">
        <f t="shared" si="109"/>
        <v>15.299159570243903</v>
      </c>
      <c r="H1160" s="2">
        <f t="shared" si="110"/>
        <v>39.55816546726733</v>
      </c>
    </row>
    <row r="1161" spans="1:8" x14ac:dyDescent="0.3">
      <c r="A1161" s="1">
        <v>43711</v>
      </c>
      <c r="B1161">
        <v>10623.540039</v>
      </c>
      <c r="C1161" s="2">
        <f t="shared" si="108"/>
        <v>2.6750333162386175E-2</v>
      </c>
      <c r="D1161">
        <f t="shared" si="111"/>
        <v>9991.421875</v>
      </c>
      <c r="E1161">
        <f t="shared" si="112"/>
        <v>1</v>
      </c>
      <c r="F1161" s="2">
        <f t="shared" si="113"/>
        <v>2.6750333162386175E-2</v>
      </c>
      <c r="G1161" s="2">
        <f t="shared" si="109"/>
        <v>15.708417185852436</v>
      </c>
      <c r="H1161" s="2">
        <f t="shared" si="110"/>
        <v>40.616359572809529</v>
      </c>
    </row>
    <row r="1162" spans="1:8" x14ac:dyDescent="0.3">
      <c r="A1162" s="1">
        <v>43712</v>
      </c>
      <c r="B1162">
        <v>10594.493164</v>
      </c>
      <c r="C1162" s="2">
        <f t="shared" si="108"/>
        <v>-2.7341992305169871E-3</v>
      </c>
      <c r="D1162">
        <f t="shared" si="111"/>
        <v>10190.685742199999</v>
      </c>
      <c r="E1162">
        <f t="shared" si="112"/>
        <v>1</v>
      </c>
      <c r="F1162" s="2">
        <f t="shared" si="113"/>
        <v>-2.7341992305169871E-3</v>
      </c>
      <c r="G1162" s="2">
        <f t="shared" si="109"/>
        <v>15.665467243670239</v>
      </c>
      <c r="H1162" s="2">
        <f t="shared" si="110"/>
        <v>40.505306353719149</v>
      </c>
    </row>
    <row r="1163" spans="1:8" x14ac:dyDescent="0.3">
      <c r="A1163" s="1">
        <v>43713</v>
      </c>
      <c r="B1163">
        <v>10575.533203000001</v>
      </c>
      <c r="C1163" s="2">
        <f t="shared" si="108"/>
        <v>-1.7896052889462277E-3</v>
      </c>
      <c r="D1163">
        <f t="shared" si="111"/>
        <v>10379.6595702</v>
      </c>
      <c r="E1163">
        <f t="shared" si="112"/>
        <v>1</v>
      </c>
      <c r="F1163" s="2">
        <f t="shared" si="113"/>
        <v>-1.7896052889462277E-3</v>
      </c>
      <c r="G1163" s="2">
        <f t="shared" si="109"/>
        <v>15.637432240637153</v>
      </c>
      <c r="H1163" s="2">
        <f t="shared" si="110"/>
        <v>40.432817843238148</v>
      </c>
    </row>
    <row r="1164" spans="1:8" x14ac:dyDescent="0.3">
      <c r="A1164" s="1">
        <v>43714</v>
      </c>
      <c r="B1164">
        <v>10353.302734000001</v>
      </c>
      <c r="C1164" s="2">
        <f t="shared" si="108"/>
        <v>-2.1013642029600876E-2</v>
      </c>
      <c r="D1164">
        <f t="shared" si="111"/>
        <v>10498.725976399999</v>
      </c>
      <c r="E1164">
        <f t="shared" si="112"/>
        <v>0</v>
      </c>
      <c r="F1164" s="2">
        <f t="shared" si="113"/>
        <v>-2.1013642029600876E-2</v>
      </c>
      <c r="G1164" s="2">
        <f t="shared" si="109"/>
        <v>15.308832837270264</v>
      </c>
      <c r="H1164" s="2">
        <f t="shared" si="110"/>
        <v>39.583177082832279</v>
      </c>
    </row>
    <row r="1165" spans="1:8" x14ac:dyDescent="0.3">
      <c r="A1165" s="1">
        <v>43715</v>
      </c>
      <c r="B1165">
        <v>10517.254883</v>
      </c>
      <c r="C1165" s="2">
        <f t="shared" si="108"/>
        <v>1.5835734085277275E-2</v>
      </c>
      <c r="D1165">
        <f t="shared" si="111"/>
        <v>10532.824804599999</v>
      </c>
      <c r="E1165">
        <f t="shared" si="112"/>
        <v>0</v>
      </c>
      <c r="F1165" s="2">
        <f t="shared" si="113"/>
        <v>0</v>
      </c>
      <c r="G1165" s="2">
        <f t="shared" si="109"/>
        <v>15.551259443237237</v>
      </c>
      <c r="H1165" s="2">
        <f t="shared" si="110"/>
        <v>39.583177082832279</v>
      </c>
    </row>
    <row r="1166" spans="1:8" x14ac:dyDescent="0.3">
      <c r="A1166" s="1">
        <v>43716</v>
      </c>
      <c r="B1166">
        <v>10441.276367</v>
      </c>
      <c r="C1166" s="2">
        <f t="shared" si="108"/>
        <v>-7.2241774916770307E-3</v>
      </c>
      <c r="D1166">
        <f t="shared" si="111"/>
        <v>10496.372070199999</v>
      </c>
      <c r="E1166">
        <f t="shared" si="112"/>
        <v>0</v>
      </c>
      <c r="F1166" s="2">
        <f t="shared" si="113"/>
        <v>0</v>
      </c>
      <c r="G1166" s="2">
        <f t="shared" si="109"/>
        <v>15.438914384800173</v>
      </c>
      <c r="H1166" s="2">
        <f t="shared" si="110"/>
        <v>39.583177082832279</v>
      </c>
    </row>
    <row r="1167" spans="1:8" x14ac:dyDescent="0.3">
      <c r="A1167" s="1">
        <v>43717</v>
      </c>
      <c r="B1167">
        <v>10334.974609000001</v>
      </c>
      <c r="C1167" s="2">
        <f t="shared" si="108"/>
        <v>-1.0180916035894771E-2</v>
      </c>
      <c r="D1167">
        <f t="shared" si="111"/>
        <v>10444.468359200002</v>
      </c>
      <c r="E1167">
        <f t="shared" si="112"/>
        <v>0</v>
      </c>
      <c r="F1167" s="2">
        <f t="shared" si="113"/>
        <v>0</v>
      </c>
      <c r="G1167" s="2">
        <f t="shared" si="109"/>
        <v>15.281732093763154</v>
      </c>
      <c r="H1167" s="2">
        <f t="shared" si="110"/>
        <v>39.583177082832279</v>
      </c>
    </row>
    <row r="1168" spans="1:8" x14ac:dyDescent="0.3">
      <c r="A1168" s="1">
        <v>43718</v>
      </c>
      <c r="B1168">
        <v>10115.975586</v>
      </c>
      <c r="C1168" s="2">
        <f t="shared" si="108"/>
        <v>-2.1190088150704223E-2</v>
      </c>
      <c r="D1168">
        <f t="shared" si="111"/>
        <v>10352.556835799998</v>
      </c>
      <c r="E1168">
        <f t="shared" si="112"/>
        <v>0</v>
      </c>
      <c r="F1168" s="2">
        <f t="shared" si="113"/>
        <v>0</v>
      </c>
      <c r="G1168" s="2">
        <f t="shared" si="109"/>
        <v>14.957910843600866</v>
      </c>
      <c r="H1168" s="2">
        <f t="shared" si="110"/>
        <v>39.583177082832279</v>
      </c>
    </row>
    <row r="1169" spans="1:8" x14ac:dyDescent="0.3">
      <c r="A1169" s="1">
        <v>43719</v>
      </c>
      <c r="B1169">
        <v>10178.372069999999</v>
      </c>
      <c r="C1169" s="2">
        <f t="shared" si="108"/>
        <v>6.168113344040993E-3</v>
      </c>
      <c r="D1169">
        <f t="shared" si="111"/>
        <v>10317.570702999999</v>
      </c>
      <c r="E1169">
        <f t="shared" si="112"/>
        <v>0</v>
      </c>
      <c r="F1169" s="2">
        <f t="shared" si="113"/>
        <v>0</v>
      </c>
      <c r="G1169" s="2">
        <f t="shared" si="109"/>
        <v>15.050172933074256</v>
      </c>
      <c r="H1169" s="2">
        <f t="shared" si="110"/>
        <v>39.583177082832279</v>
      </c>
    </row>
    <row r="1170" spans="1:8" x14ac:dyDescent="0.3">
      <c r="A1170" s="1">
        <v>43720</v>
      </c>
      <c r="B1170">
        <v>10410.126953000001</v>
      </c>
      <c r="C1170" s="2">
        <f t="shared" si="108"/>
        <v>2.2769346748787278E-2</v>
      </c>
      <c r="D1170">
        <f t="shared" si="111"/>
        <v>10296.145117</v>
      </c>
      <c r="E1170">
        <f t="shared" si="112"/>
        <v>1</v>
      </c>
      <c r="F1170" s="2">
        <f t="shared" si="113"/>
        <v>0</v>
      </c>
      <c r="G1170" s="2">
        <f t="shared" si="109"/>
        <v>15.392855539216637</v>
      </c>
      <c r="H1170" s="2">
        <f t="shared" si="110"/>
        <v>39.583177082832279</v>
      </c>
    </row>
    <row r="1171" spans="1:8" x14ac:dyDescent="0.3">
      <c r="A1171" s="1">
        <v>43721</v>
      </c>
      <c r="B1171">
        <v>10360.546875</v>
      </c>
      <c r="C1171" s="2">
        <f t="shared" si="108"/>
        <v>-4.7626775565606794E-3</v>
      </c>
      <c r="D1171">
        <f t="shared" si="111"/>
        <v>10279.9992186</v>
      </c>
      <c r="E1171">
        <f t="shared" si="112"/>
        <v>1</v>
      </c>
      <c r="F1171" s="2">
        <f t="shared" si="113"/>
        <v>-4.7626775565606794E-3</v>
      </c>
      <c r="G1171" s="2">
        <f t="shared" si="109"/>
        <v>15.319544331608629</v>
      </c>
      <c r="H1171" s="2">
        <f t="shared" si="110"/>
        <v>39.394655173722505</v>
      </c>
    </row>
    <row r="1172" spans="1:8" x14ac:dyDescent="0.3">
      <c r="A1172" s="1">
        <v>43722</v>
      </c>
      <c r="B1172">
        <v>10358.048828000001</v>
      </c>
      <c r="C1172" s="2">
        <f t="shared" si="108"/>
        <v>-2.4111150020733607E-4</v>
      </c>
      <c r="D1172">
        <f t="shared" si="111"/>
        <v>10284.6140624</v>
      </c>
      <c r="E1172">
        <f t="shared" si="112"/>
        <v>1</v>
      </c>
      <c r="F1172" s="2">
        <f t="shared" si="113"/>
        <v>-2.4111150020733607E-4</v>
      </c>
      <c r="G1172" s="2">
        <f t="shared" si="109"/>
        <v>15.315850613292342</v>
      </c>
      <c r="H1172" s="2">
        <f t="shared" si="110"/>
        <v>39.385156669313417</v>
      </c>
    </row>
    <row r="1173" spans="1:8" x14ac:dyDescent="0.3">
      <c r="A1173" s="1">
        <v>43723</v>
      </c>
      <c r="B1173">
        <v>10347.712890999999</v>
      </c>
      <c r="C1173" s="2">
        <f t="shared" si="108"/>
        <v>-9.9786525161582595E-4</v>
      </c>
      <c r="D1173">
        <f t="shared" si="111"/>
        <v>10330.961523399999</v>
      </c>
      <c r="E1173">
        <f t="shared" si="112"/>
        <v>1</v>
      </c>
      <c r="F1173" s="2">
        <f t="shared" si="113"/>
        <v>-9.9786525161582595E-4</v>
      </c>
      <c r="G1173" s="2">
        <f t="shared" si="109"/>
        <v>15.300567458166398</v>
      </c>
      <c r="H1173" s="2">
        <f t="shared" si="110"/>
        <v>39.345855590043662</v>
      </c>
    </row>
    <row r="1174" spans="1:8" x14ac:dyDescent="0.3">
      <c r="A1174" s="1">
        <v>43724</v>
      </c>
      <c r="B1174">
        <v>10276.793944999999</v>
      </c>
      <c r="C1174" s="2">
        <f t="shared" si="108"/>
        <v>-6.8535865603385204E-3</v>
      </c>
      <c r="D1174">
        <f t="shared" si="111"/>
        <v>10350.6458984</v>
      </c>
      <c r="E1174">
        <f t="shared" si="112"/>
        <v>0</v>
      </c>
      <c r="F1174" s="2">
        <f t="shared" si="113"/>
        <v>-6.8535865603385204E-3</v>
      </c>
      <c r="G1174" s="2">
        <f t="shared" si="109"/>
        <v>15.195703694669556</v>
      </c>
      <c r="H1174" s="2">
        <f t="shared" si="110"/>
        <v>39.076195362966722</v>
      </c>
    </row>
    <row r="1175" spans="1:8" x14ac:dyDescent="0.3">
      <c r="A1175" s="1">
        <v>43725</v>
      </c>
      <c r="B1175">
        <v>10241.272461</v>
      </c>
      <c r="C1175" s="2">
        <f t="shared" si="108"/>
        <v>-3.4564752577608271E-3</v>
      </c>
      <c r="D1175">
        <f t="shared" si="111"/>
        <v>10316.875</v>
      </c>
      <c r="E1175">
        <f t="shared" si="112"/>
        <v>0</v>
      </c>
      <c r="F1175" s="2">
        <f t="shared" si="113"/>
        <v>0</v>
      </c>
      <c r="G1175" s="2">
        <f t="shared" si="109"/>
        <v>15.143180120824665</v>
      </c>
      <c r="H1175" s="2">
        <f t="shared" si="110"/>
        <v>39.076195362966722</v>
      </c>
    </row>
    <row r="1176" spans="1:8" x14ac:dyDescent="0.3">
      <c r="A1176" s="1">
        <v>43726</v>
      </c>
      <c r="B1176">
        <v>10198.248046999999</v>
      </c>
      <c r="C1176" s="2">
        <f t="shared" si="108"/>
        <v>-4.2010808875404537E-3</v>
      </c>
      <c r="D1176">
        <f t="shared" si="111"/>
        <v>10284.415234399999</v>
      </c>
      <c r="E1176">
        <f t="shared" si="112"/>
        <v>0</v>
      </c>
      <c r="F1176" s="2">
        <f t="shared" si="113"/>
        <v>0</v>
      </c>
      <c r="G1176" s="2">
        <f t="shared" si="109"/>
        <v>15.079562396242485</v>
      </c>
      <c r="H1176" s="2">
        <f t="shared" si="110"/>
        <v>39.076195362966722</v>
      </c>
    </row>
    <row r="1177" spans="1:8" x14ac:dyDescent="0.3">
      <c r="A1177" s="1">
        <v>43727</v>
      </c>
      <c r="B1177">
        <v>10266.415039</v>
      </c>
      <c r="C1177" s="2">
        <f t="shared" si="108"/>
        <v>6.6841865079025897E-3</v>
      </c>
      <c r="D1177">
        <f t="shared" si="111"/>
        <v>10266.0884766</v>
      </c>
      <c r="E1177">
        <f t="shared" si="112"/>
        <v>1</v>
      </c>
      <c r="F1177" s="2">
        <f t="shared" si="113"/>
        <v>0</v>
      </c>
      <c r="G1177" s="2">
        <f t="shared" si="109"/>
        <v>15.180357003756525</v>
      </c>
      <c r="H1177" s="2">
        <f t="shared" si="110"/>
        <v>39.076195362966722</v>
      </c>
    </row>
    <row r="1178" spans="1:8" x14ac:dyDescent="0.3">
      <c r="A1178" s="1">
        <v>43728</v>
      </c>
      <c r="B1178">
        <v>10181.641602</v>
      </c>
      <c r="C1178" s="2">
        <f t="shared" si="108"/>
        <v>-8.2573553356223295E-3</v>
      </c>
      <c r="D1178">
        <f t="shared" si="111"/>
        <v>10232.8742188</v>
      </c>
      <c r="E1178">
        <f t="shared" si="112"/>
        <v>0</v>
      </c>
      <c r="F1178" s="2">
        <f t="shared" si="113"/>
        <v>-8.2573553356223295E-3</v>
      </c>
      <c r="G1178" s="2">
        <f t="shared" si="109"/>
        <v>15.055007401854905</v>
      </c>
      <c r="H1178" s="2">
        <f t="shared" si="110"/>
        <v>38.753529332690505</v>
      </c>
    </row>
    <row r="1179" spans="1:8" x14ac:dyDescent="0.3">
      <c r="A1179" s="1">
        <v>43729</v>
      </c>
      <c r="B1179">
        <v>10019.716796999999</v>
      </c>
      <c r="C1179" s="2">
        <f t="shared" si="108"/>
        <v>-1.590360487332354E-2</v>
      </c>
      <c r="D1179">
        <f t="shared" si="111"/>
        <v>10181.458789200002</v>
      </c>
      <c r="E1179">
        <f t="shared" si="112"/>
        <v>0</v>
      </c>
      <c r="F1179" s="2">
        <f t="shared" si="113"/>
        <v>0</v>
      </c>
      <c r="G1179" s="2">
        <f t="shared" si="109"/>
        <v>14.815578512770843</v>
      </c>
      <c r="H1179" s="2">
        <f t="shared" si="110"/>
        <v>38.753529332690505</v>
      </c>
    </row>
    <row r="1180" spans="1:8" x14ac:dyDescent="0.3">
      <c r="A1180" s="1">
        <v>43730</v>
      </c>
      <c r="B1180">
        <v>10070.392578000001</v>
      </c>
      <c r="C1180" s="2">
        <f t="shared" si="108"/>
        <v>5.0576061206815126E-3</v>
      </c>
      <c r="D1180">
        <f t="shared" si="111"/>
        <v>10147.282812599999</v>
      </c>
      <c r="E1180">
        <f t="shared" si="112"/>
        <v>0</v>
      </c>
      <c r="F1180" s="2">
        <f t="shared" si="113"/>
        <v>0</v>
      </c>
      <c r="G1180" s="2">
        <f t="shared" si="109"/>
        <v>14.89050987333847</v>
      </c>
      <c r="H1180" s="2">
        <f t="shared" si="110"/>
        <v>38.753529332690505</v>
      </c>
    </row>
    <row r="1181" spans="1:8" x14ac:dyDescent="0.3">
      <c r="A1181" s="1">
        <v>43731</v>
      </c>
      <c r="B1181">
        <v>9729.3242190000001</v>
      </c>
      <c r="C1181" s="2">
        <f t="shared" si="108"/>
        <v>-3.3868427308892168E-2</v>
      </c>
      <c r="D1181">
        <f t="shared" si="111"/>
        <v>10053.498046999999</v>
      </c>
      <c r="E1181">
        <f t="shared" si="112"/>
        <v>0</v>
      </c>
      <c r="F1181" s="2">
        <f t="shared" si="113"/>
        <v>0</v>
      </c>
      <c r="G1181" s="2">
        <f t="shared" si="109"/>
        <v>14.386191722100964</v>
      </c>
      <c r="H1181" s="2">
        <f t="shared" si="110"/>
        <v>38.753529332690505</v>
      </c>
    </row>
    <row r="1182" spans="1:8" x14ac:dyDescent="0.3">
      <c r="A1182" s="1">
        <v>43732</v>
      </c>
      <c r="B1182">
        <v>8620.5664059999999</v>
      </c>
      <c r="C1182" s="2">
        <f t="shared" si="108"/>
        <v>-0.11396041369808119</v>
      </c>
      <c r="D1182">
        <f t="shared" si="111"/>
        <v>9724.3283203999999</v>
      </c>
      <c r="E1182">
        <f t="shared" si="112"/>
        <v>0</v>
      </c>
      <c r="F1182" s="2">
        <f t="shared" si="113"/>
        <v>0</v>
      </c>
      <c r="G1182" s="2">
        <f t="shared" si="109"/>
        <v>12.746735361910428</v>
      </c>
      <c r="H1182" s="2">
        <f t="shared" si="110"/>
        <v>38.753529332690505</v>
      </c>
    </row>
    <row r="1183" spans="1:8" x14ac:dyDescent="0.3">
      <c r="A1183" s="1">
        <v>43733</v>
      </c>
      <c r="B1183">
        <v>8486.9931639999995</v>
      </c>
      <c r="C1183" s="2">
        <f t="shared" si="108"/>
        <v>-1.5494717598490082E-2</v>
      </c>
      <c r="D1183">
        <f t="shared" si="111"/>
        <v>9385.3986327999992</v>
      </c>
      <c r="E1183">
        <f t="shared" si="112"/>
        <v>0</v>
      </c>
      <c r="F1183" s="2">
        <f t="shared" si="113"/>
        <v>0</v>
      </c>
      <c r="G1183" s="2">
        <f t="shared" si="109"/>
        <v>12.549228297174938</v>
      </c>
      <c r="H1183" s="2">
        <f t="shared" si="110"/>
        <v>38.753529332690505</v>
      </c>
    </row>
    <row r="1184" spans="1:8" x14ac:dyDescent="0.3">
      <c r="A1184" s="1">
        <v>43734</v>
      </c>
      <c r="B1184">
        <v>8118.9677730000003</v>
      </c>
      <c r="C1184" s="2">
        <f t="shared" si="108"/>
        <v>-4.3363460284271627E-2</v>
      </c>
      <c r="D1184">
        <f t="shared" si="111"/>
        <v>9005.2488279999998</v>
      </c>
      <c r="E1184">
        <f t="shared" si="112"/>
        <v>0</v>
      </c>
      <c r="F1184" s="2">
        <f t="shared" si="113"/>
        <v>0</v>
      </c>
      <c r="G1184" s="2">
        <f t="shared" si="109"/>
        <v>12.005050334312136</v>
      </c>
      <c r="H1184" s="2">
        <f t="shared" si="110"/>
        <v>38.753529332690505</v>
      </c>
    </row>
    <row r="1185" spans="1:8" x14ac:dyDescent="0.3">
      <c r="A1185" s="1">
        <v>43735</v>
      </c>
      <c r="B1185">
        <v>8251.8457030000009</v>
      </c>
      <c r="C1185" s="2">
        <f t="shared" si="108"/>
        <v>1.636635761037164E-2</v>
      </c>
      <c r="D1185">
        <f t="shared" si="111"/>
        <v>8641.5394529999994</v>
      </c>
      <c r="E1185">
        <f t="shared" si="112"/>
        <v>0</v>
      </c>
      <c r="F1185" s="2">
        <f t="shared" si="113"/>
        <v>0</v>
      </c>
      <c r="G1185" s="2">
        <f t="shared" si="109"/>
        <v>12.201529281214</v>
      </c>
      <c r="H1185" s="2">
        <f t="shared" si="110"/>
        <v>38.753529332690505</v>
      </c>
    </row>
    <row r="1186" spans="1:8" x14ac:dyDescent="0.3">
      <c r="A1186" s="1">
        <v>43736</v>
      </c>
      <c r="B1186">
        <v>8245.9150389999995</v>
      </c>
      <c r="C1186" s="2">
        <f t="shared" si="108"/>
        <v>-7.1870757324576928E-4</v>
      </c>
      <c r="D1186">
        <f t="shared" si="111"/>
        <v>8344.8576169999997</v>
      </c>
      <c r="E1186">
        <f t="shared" si="112"/>
        <v>0</v>
      </c>
      <c r="F1186" s="2">
        <f t="shared" si="113"/>
        <v>0</v>
      </c>
      <c r="G1186" s="2">
        <f t="shared" si="109"/>
        <v>12.192759949714413</v>
      </c>
      <c r="H1186" s="2">
        <f t="shared" si="110"/>
        <v>38.753529332690505</v>
      </c>
    </row>
    <row r="1187" spans="1:8" x14ac:dyDescent="0.3">
      <c r="A1187" s="1">
        <v>43737</v>
      </c>
      <c r="B1187">
        <v>8104.185547</v>
      </c>
      <c r="C1187" s="2">
        <f t="shared" si="108"/>
        <v>-1.7187842868823355E-2</v>
      </c>
      <c r="D1187">
        <f t="shared" si="111"/>
        <v>8241.5814452000013</v>
      </c>
      <c r="E1187">
        <f t="shared" si="112"/>
        <v>0</v>
      </c>
      <c r="F1187" s="2">
        <f t="shared" si="113"/>
        <v>0</v>
      </c>
      <c r="G1187" s="2">
        <f t="shared" si="109"/>
        <v>11.98319270756144</v>
      </c>
      <c r="H1187" s="2">
        <f t="shared" si="110"/>
        <v>38.753529332690505</v>
      </c>
    </row>
    <row r="1188" spans="1:8" x14ac:dyDescent="0.3">
      <c r="A1188" s="1">
        <v>43738</v>
      </c>
      <c r="B1188">
        <v>8293.8681639999995</v>
      </c>
      <c r="C1188" s="2">
        <f t="shared" si="108"/>
        <v>2.3405512608261514E-2</v>
      </c>
      <c r="D1188">
        <f t="shared" si="111"/>
        <v>8202.9564452000013</v>
      </c>
      <c r="E1188">
        <f t="shared" si="112"/>
        <v>1</v>
      </c>
      <c r="F1188" s="2">
        <f t="shared" si="113"/>
        <v>0</v>
      </c>
      <c r="G1188" s="2">
        <f t="shared" si="109"/>
        <v>12.263665475565496</v>
      </c>
      <c r="H1188" s="2">
        <f t="shared" si="110"/>
        <v>38.753529332690505</v>
      </c>
    </row>
    <row r="1189" spans="1:8" x14ac:dyDescent="0.3">
      <c r="A1189" s="1">
        <v>43739</v>
      </c>
      <c r="B1189">
        <v>8343.2763670000004</v>
      </c>
      <c r="C1189" s="2">
        <f t="shared" si="108"/>
        <v>5.9571965725786491E-3</v>
      </c>
      <c r="D1189">
        <f t="shared" si="111"/>
        <v>8247.8181640000003</v>
      </c>
      <c r="E1189">
        <f t="shared" si="112"/>
        <v>1</v>
      </c>
      <c r="F1189" s="2">
        <f t="shared" si="113"/>
        <v>5.9571965725786491E-3</v>
      </c>
      <c r="G1189" s="2">
        <f t="shared" si="109"/>
        <v>12.336722541503786</v>
      </c>
      <c r="H1189" s="2">
        <f t="shared" si="110"/>
        <v>38.984391724806535</v>
      </c>
    </row>
    <row r="1190" spans="1:8" x14ac:dyDescent="0.3">
      <c r="A1190" s="1">
        <v>43740</v>
      </c>
      <c r="B1190">
        <v>8393.0419920000004</v>
      </c>
      <c r="C1190" s="2">
        <f t="shared" si="108"/>
        <v>5.9647580651693843E-3</v>
      </c>
      <c r="D1190">
        <f t="shared" si="111"/>
        <v>8276.0574218000002</v>
      </c>
      <c r="E1190">
        <f t="shared" si="112"/>
        <v>1</v>
      </c>
      <c r="F1190" s="2">
        <f t="shared" si="113"/>
        <v>5.9647580651693843E-3</v>
      </c>
      <c r="G1190" s="2">
        <f t="shared" si="109"/>
        <v>12.410308106780978</v>
      </c>
      <c r="H1190" s="2">
        <f t="shared" si="110"/>
        <v>39.2169241897628</v>
      </c>
    </row>
    <row r="1191" spans="1:8" x14ac:dyDescent="0.3">
      <c r="A1191" s="1">
        <v>43741</v>
      </c>
      <c r="B1191">
        <v>8259.9921880000002</v>
      </c>
      <c r="C1191" s="2">
        <f t="shared" si="108"/>
        <v>-1.585239346196754E-2</v>
      </c>
      <c r="D1191">
        <f t="shared" si="111"/>
        <v>8278.872851600001</v>
      </c>
      <c r="E1191">
        <f t="shared" si="112"/>
        <v>0</v>
      </c>
      <c r="F1191" s="2">
        <f t="shared" si="113"/>
        <v>-1.585239346196754E-2</v>
      </c>
      <c r="G1191" s="2">
        <f t="shared" si="109"/>
        <v>12.21357501968804</v>
      </c>
      <c r="H1191" s="2">
        <f t="shared" si="110"/>
        <v>38.595242077138529</v>
      </c>
    </row>
    <row r="1192" spans="1:8" x14ac:dyDescent="0.3">
      <c r="A1192" s="1">
        <v>43742</v>
      </c>
      <c r="B1192">
        <v>8205.9394530000009</v>
      </c>
      <c r="C1192" s="2">
        <f t="shared" si="108"/>
        <v>-6.5439208379066693E-3</v>
      </c>
      <c r="D1192">
        <f t="shared" si="111"/>
        <v>8299.2236327999999</v>
      </c>
      <c r="E1192">
        <f t="shared" si="112"/>
        <v>0</v>
      </c>
      <c r="F1192" s="2">
        <f t="shared" si="113"/>
        <v>0</v>
      </c>
      <c r="G1192" s="2">
        <f t="shared" si="109"/>
        <v>12.133650351611367</v>
      </c>
      <c r="H1192" s="2">
        <f t="shared" si="110"/>
        <v>38.595242077138529</v>
      </c>
    </row>
    <row r="1193" spans="1:8" x14ac:dyDescent="0.3">
      <c r="A1193" s="1">
        <v>43743</v>
      </c>
      <c r="B1193">
        <v>8151.5004879999997</v>
      </c>
      <c r="C1193" s="2">
        <f t="shared" si="108"/>
        <v>-6.6340929410707572E-3</v>
      </c>
      <c r="D1193">
        <f t="shared" si="111"/>
        <v>8270.7500975999992</v>
      </c>
      <c r="E1193">
        <f t="shared" si="112"/>
        <v>0</v>
      </c>
      <c r="F1193" s="2">
        <f t="shared" si="113"/>
        <v>0</v>
      </c>
      <c r="G1193" s="2">
        <f t="shared" si="109"/>
        <v>12.053154587464322</v>
      </c>
      <c r="H1193" s="2">
        <f t="shared" si="110"/>
        <v>38.595242077138529</v>
      </c>
    </row>
    <row r="1194" spans="1:8" x14ac:dyDescent="0.3">
      <c r="A1194" s="1">
        <v>43744</v>
      </c>
      <c r="B1194">
        <v>7988.1557620000003</v>
      </c>
      <c r="C1194" s="2">
        <f t="shared" si="108"/>
        <v>-2.0038608381421685E-2</v>
      </c>
      <c r="D1194">
        <f t="shared" si="111"/>
        <v>8199.7259766000006</v>
      </c>
      <c r="E1194">
        <f t="shared" si="112"/>
        <v>0</v>
      </c>
      <c r="F1194" s="2">
        <f t="shared" si="113"/>
        <v>0</v>
      </c>
      <c r="G1194" s="2">
        <f t="shared" si="109"/>
        <v>11.811626142925387</v>
      </c>
      <c r="H1194" s="2">
        <f t="shared" si="110"/>
        <v>38.595242077138529</v>
      </c>
    </row>
    <row r="1195" spans="1:8" x14ac:dyDescent="0.3">
      <c r="A1195" s="1">
        <v>43745</v>
      </c>
      <c r="B1195">
        <v>8245.6230469999991</v>
      </c>
      <c r="C1195" s="2">
        <f t="shared" si="108"/>
        <v>3.2231129771502776E-2</v>
      </c>
      <c r="D1195">
        <f t="shared" si="111"/>
        <v>8170.2421876000008</v>
      </c>
      <c r="E1195">
        <f t="shared" si="112"/>
        <v>1</v>
      </c>
      <c r="F1195" s="2">
        <f t="shared" si="113"/>
        <v>0</v>
      </c>
      <c r="G1195" s="2">
        <f t="shared" si="109"/>
        <v>12.19232819795049</v>
      </c>
      <c r="H1195" s="2">
        <f t="shared" si="110"/>
        <v>38.595242077138529</v>
      </c>
    </row>
    <row r="1196" spans="1:8" x14ac:dyDescent="0.3">
      <c r="A1196" s="1">
        <v>43746</v>
      </c>
      <c r="B1196">
        <v>8228.7832030000009</v>
      </c>
      <c r="C1196" s="2">
        <f t="shared" si="108"/>
        <v>-2.0422767211175641E-3</v>
      </c>
      <c r="D1196">
        <f t="shared" si="111"/>
        <v>8164.0003906000002</v>
      </c>
      <c r="E1196">
        <f t="shared" si="112"/>
        <v>1</v>
      </c>
      <c r="F1196" s="2">
        <f t="shared" si="113"/>
        <v>-2.0422767211175641E-3</v>
      </c>
      <c r="G1196" s="2">
        <f t="shared" si="109"/>
        <v>12.167428089895591</v>
      </c>
      <c r="H1196" s="2">
        <f t="shared" si="110"/>
        <v>38.516419912698495</v>
      </c>
    </row>
    <row r="1197" spans="1:8" x14ac:dyDescent="0.3">
      <c r="A1197" s="1">
        <v>43747</v>
      </c>
      <c r="B1197">
        <v>8595.7402340000008</v>
      </c>
      <c r="C1197" s="2">
        <f t="shared" si="108"/>
        <v>4.4594324816604303E-2</v>
      </c>
      <c r="D1197">
        <f t="shared" si="111"/>
        <v>8241.9605467999991</v>
      </c>
      <c r="E1197">
        <f t="shared" si="112"/>
        <v>1</v>
      </c>
      <c r="F1197" s="2">
        <f t="shared" si="113"/>
        <v>4.4594324816604303E-2</v>
      </c>
      <c r="G1197" s="2">
        <f t="shared" si="109"/>
        <v>12.710026330319069</v>
      </c>
      <c r="H1197" s="2">
        <f t="shared" si="110"/>
        <v>40.234033653058098</v>
      </c>
    </row>
    <row r="1198" spans="1:8" x14ac:dyDescent="0.3">
      <c r="A1198" s="1">
        <v>43748</v>
      </c>
      <c r="B1198">
        <v>8586.4736329999996</v>
      </c>
      <c r="C1198" s="2">
        <f t="shared" si="108"/>
        <v>-1.0780457235489704E-3</v>
      </c>
      <c r="D1198">
        <f t="shared" si="111"/>
        <v>8328.9551758000016</v>
      </c>
      <c r="E1198">
        <f t="shared" si="112"/>
        <v>1</v>
      </c>
      <c r="F1198" s="2">
        <f t="shared" si="113"/>
        <v>-1.0780457235489704E-3</v>
      </c>
      <c r="G1198" s="2">
        <f t="shared" si="109"/>
        <v>12.696324340787474</v>
      </c>
      <c r="H1198" s="2">
        <f t="shared" si="110"/>
        <v>40.190659525137292</v>
      </c>
    </row>
    <row r="1199" spans="1:8" x14ac:dyDescent="0.3">
      <c r="A1199" s="1">
        <v>43749</v>
      </c>
      <c r="B1199">
        <v>8321.7568360000005</v>
      </c>
      <c r="C1199" s="2">
        <f t="shared" si="108"/>
        <v>-3.0829512593228636E-2</v>
      </c>
      <c r="D1199">
        <f t="shared" si="111"/>
        <v>8395.6753905999994</v>
      </c>
      <c r="E1199">
        <f t="shared" si="112"/>
        <v>0</v>
      </c>
      <c r="F1199" s="2">
        <f t="shared" si="113"/>
        <v>-3.0829512593228636E-2</v>
      </c>
      <c r="G1199" s="2">
        <f t="shared" si="109"/>
        <v>12.30490284963545</v>
      </c>
      <c r="H1199" s="2">
        <f t="shared" si="110"/>
        <v>38.951601081176911</v>
      </c>
    </row>
    <row r="1200" spans="1:8" x14ac:dyDescent="0.3">
      <c r="A1200" s="1">
        <v>43750</v>
      </c>
      <c r="B1200">
        <v>8336.5556639999995</v>
      </c>
      <c r="C1200" s="2">
        <f t="shared" si="108"/>
        <v>1.7783297795941344E-3</v>
      </c>
      <c r="D1200">
        <f t="shared" si="111"/>
        <v>8413.861914000001</v>
      </c>
      <c r="E1200">
        <f t="shared" si="112"/>
        <v>0</v>
      </c>
      <c r="F1200" s="2">
        <f t="shared" si="113"/>
        <v>0</v>
      </c>
      <c r="G1200" s="2">
        <f t="shared" si="109"/>
        <v>12.32678502480797</v>
      </c>
      <c r="H1200" s="2">
        <f t="shared" si="110"/>
        <v>38.951601081176911</v>
      </c>
    </row>
    <row r="1201" spans="1:8" x14ac:dyDescent="0.3">
      <c r="A1201" s="1">
        <v>43751</v>
      </c>
      <c r="B1201">
        <v>8321.0058590000008</v>
      </c>
      <c r="C1201" s="2">
        <f t="shared" si="108"/>
        <v>-1.8652553436604435E-3</v>
      </c>
      <c r="D1201">
        <f t="shared" si="111"/>
        <v>8432.3064451999999</v>
      </c>
      <c r="E1201">
        <f t="shared" si="112"/>
        <v>0</v>
      </c>
      <c r="F1201" s="2">
        <f t="shared" si="113"/>
        <v>0</v>
      </c>
      <c r="G1201" s="2">
        <f t="shared" si="109"/>
        <v>12.303792423170293</v>
      </c>
      <c r="H1201" s="2">
        <f t="shared" si="110"/>
        <v>38.951601081176911</v>
      </c>
    </row>
    <row r="1202" spans="1:8" x14ac:dyDescent="0.3">
      <c r="A1202" s="1">
        <v>43752</v>
      </c>
      <c r="B1202">
        <v>8374.6865230000003</v>
      </c>
      <c r="C1202" s="2">
        <f t="shared" si="108"/>
        <v>6.4512229542463828E-3</v>
      </c>
      <c r="D1202">
        <f t="shared" si="111"/>
        <v>8388.095702999999</v>
      </c>
      <c r="E1202">
        <f t="shared" si="112"/>
        <v>0</v>
      </c>
      <c r="F1202" s="2">
        <f t="shared" si="113"/>
        <v>0</v>
      </c>
      <c r="G1202" s="2">
        <f t="shared" si="109"/>
        <v>12.383166931274932</v>
      </c>
      <c r="H1202" s="2">
        <f t="shared" si="110"/>
        <v>38.951601081176911</v>
      </c>
    </row>
    <row r="1203" spans="1:8" x14ac:dyDescent="0.3">
      <c r="A1203" s="1">
        <v>43753</v>
      </c>
      <c r="B1203">
        <v>8205.3691409999992</v>
      </c>
      <c r="C1203" s="2">
        <f t="shared" si="108"/>
        <v>-2.0217757588298135E-2</v>
      </c>
      <c r="D1203">
        <f t="shared" si="111"/>
        <v>8311.8748046000001</v>
      </c>
      <c r="E1203">
        <f t="shared" si="112"/>
        <v>0</v>
      </c>
      <c r="F1203" s="2">
        <f t="shared" si="113"/>
        <v>0</v>
      </c>
      <c r="G1203" s="2">
        <f t="shared" si="109"/>
        <v>12.132807064082986</v>
      </c>
      <c r="H1203" s="2">
        <f t="shared" si="110"/>
        <v>38.951601081176911</v>
      </c>
    </row>
    <row r="1204" spans="1:8" x14ac:dyDescent="0.3">
      <c r="A1204" s="1">
        <v>43754</v>
      </c>
      <c r="B1204">
        <v>8047.5268550000001</v>
      </c>
      <c r="C1204" s="2">
        <f t="shared" si="108"/>
        <v>-1.9236463745586296E-2</v>
      </c>
      <c r="D1204">
        <f t="shared" si="111"/>
        <v>8257.0288084000003</v>
      </c>
      <c r="E1204">
        <f t="shared" si="112"/>
        <v>0</v>
      </c>
      <c r="F1204" s="2">
        <f t="shared" si="113"/>
        <v>0</v>
      </c>
      <c r="G1204" s="2">
        <f t="shared" si="109"/>
        <v>11.899414760862561</v>
      </c>
      <c r="H1204" s="2">
        <f t="shared" si="110"/>
        <v>38.951601081176911</v>
      </c>
    </row>
    <row r="1205" spans="1:8" x14ac:dyDescent="0.3">
      <c r="A1205" s="1">
        <v>43755</v>
      </c>
      <c r="B1205">
        <v>8103.9111329999996</v>
      </c>
      <c r="C1205" s="2">
        <f t="shared" si="108"/>
        <v>7.0064106670197912E-3</v>
      </c>
      <c r="D1205">
        <f t="shared" si="111"/>
        <v>8210.4999022000011</v>
      </c>
      <c r="E1205">
        <f t="shared" si="112"/>
        <v>0</v>
      </c>
      <c r="F1205" s="2">
        <f t="shared" si="113"/>
        <v>0</v>
      </c>
      <c r="G1205" s="2">
        <f t="shared" si="109"/>
        <v>11.982786947374361</v>
      </c>
      <c r="H1205" s="2">
        <f t="shared" si="110"/>
        <v>38.951601081176911</v>
      </c>
    </row>
    <row r="1206" spans="1:8" x14ac:dyDescent="0.3">
      <c r="A1206" s="1">
        <v>43756</v>
      </c>
      <c r="B1206">
        <v>7973.2075199999999</v>
      </c>
      <c r="C1206" s="2">
        <f t="shared" si="108"/>
        <v>-1.6128460795647226E-2</v>
      </c>
      <c r="D1206">
        <f t="shared" si="111"/>
        <v>8140.9402344</v>
      </c>
      <c r="E1206">
        <f t="shared" si="112"/>
        <v>0</v>
      </c>
      <c r="F1206" s="2">
        <f t="shared" si="113"/>
        <v>0</v>
      </c>
      <c r="G1206" s="2">
        <f t="shared" si="109"/>
        <v>11.789523037871041</v>
      </c>
      <c r="H1206" s="2">
        <f t="shared" si="110"/>
        <v>38.951601081176911</v>
      </c>
    </row>
    <row r="1207" spans="1:8" x14ac:dyDescent="0.3">
      <c r="A1207" s="1">
        <v>43757</v>
      </c>
      <c r="B1207">
        <v>7988.560547</v>
      </c>
      <c r="C1207" s="2">
        <f t="shared" si="108"/>
        <v>1.9255772487407619E-3</v>
      </c>
      <c r="D1207">
        <f t="shared" si="111"/>
        <v>8063.7150391999994</v>
      </c>
      <c r="E1207">
        <f t="shared" si="112"/>
        <v>0</v>
      </c>
      <c r="F1207" s="2">
        <f t="shared" si="113"/>
        <v>0</v>
      </c>
      <c r="G1207" s="2">
        <f t="shared" si="109"/>
        <v>11.81222467520627</v>
      </c>
      <c r="H1207" s="2">
        <f t="shared" si="110"/>
        <v>38.951601081176911</v>
      </c>
    </row>
    <row r="1208" spans="1:8" x14ac:dyDescent="0.3">
      <c r="A1208" s="1">
        <v>43758</v>
      </c>
      <c r="B1208">
        <v>8222.078125</v>
      </c>
      <c r="C1208" s="2">
        <f t="shared" si="108"/>
        <v>2.9231496290992531E-2</v>
      </c>
      <c r="D1208">
        <f t="shared" si="111"/>
        <v>8067.0568360000007</v>
      </c>
      <c r="E1208">
        <f t="shared" si="112"/>
        <v>1</v>
      </c>
      <c r="F1208" s="2">
        <f t="shared" si="113"/>
        <v>0</v>
      </c>
      <c r="G1208" s="2">
        <f t="shared" si="109"/>
        <v>12.157513676987932</v>
      </c>
      <c r="H1208" s="2">
        <f t="shared" si="110"/>
        <v>38.951601081176911</v>
      </c>
    </row>
    <row r="1209" spans="1:8" x14ac:dyDescent="0.3">
      <c r="A1209" s="1">
        <v>43759</v>
      </c>
      <c r="B1209">
        <v>8243.7207030000009</v>
      </c>
      <c r="C1209" s="2">
        <f t="shared" si="108"/>
        <v>2.6322515635304189E-3</v>
      </c>
      <c r="D1209">
        <f t="shared" si="111"/>
        <v>8106.2956055999994</v>
      </c>
      <c r="E1209">
        <f t="shared" si="112"/>
        <v>1</v>
      </c>
      <c r="F1209" s="2">
        <f t="shared" si="113"/>
        <v>2.6322515635304189E-3</v>
      </c>
      <c r="G1209" s="2">
        <f t="shared" si="109"/>
        <v>12.189515311372826</v>
      </c>
      <c r="H1209" s="2">
        <f t="shared" si="110"/>
        <v>39.054131494024851</v>
      </c>
    </row>
    <row r="1210" spans="1:8" x14ac:dyDescent="0.3">
      <c r="A1210" s="1">
        <v>43760</v>
      </c>
      <c r="B1210">
        <v>8078.203125</v>
      </c>
      <c r="C1210" s="2">
        <f t="shared" si="108"/>
        <v>-2.0078018647546658E-2</v>
      </c>
      <c r="D1210">
        <f t="shared" si="111"/>
        <v>8101.1540040000009</v>
      </c>
      <c r="E1210">
        <f t="shared" si="112"/>
        <v>0</v>
      </c>
      <c r="F1210" s="2">
        <f t="shared" si="113"/>
        <v>-2.0078018647546658E-2</v>
      </c>
      <c r="G1210" s="2">
        <f t="shared" si="109"/>
        <v>11.944773995646527</v>
      </c>
      <c r="H1210" s="2">
        <f t="shared" si="110"/>
        <v>38.270001913624078</v>
      </c>
    </row>
    <row r="1211" spans="1:8" x14ac:dyDescent="0.3">
      <c r="A1211" s="1">
        <v>43761</v>
      </c>
      <c r="B1211">
        <v>7514.671875</v>
      </c>
      <c r="C1211" s="2">
        <f t="shared" si="108"/>
        <v>-6.9759480082397629E-2</v>
      </c>
      <c r="D1211">
        <f t="shared" si="111"/>
        <v>8009.4468749999996</v>
      </c>
      <c r="E1211">
        <f t="shared" si="112"/>
        <v>0</v>
      </c>
      <c r="F1211" s="2">
        <f t="shared" si="113"/>
        <v>0</v>
      </c>
      <c r="G1211" s="2">
        <f t="shared" si="109"/>
        <v>11.111512772008481</v>
      </c>
      <c r="H1211" s="2">
        <f t="shared" si="110"/>
        <v>38.270001913624078</v>
      </c>
    </row>
    <row r="1212" spans="1:8" x14ac:dyDescent="0.3">
      <c r="A1212" s="1">
        <v>43762</v>
      </c>
      <c r="B1212">
        <v>7493.4887699999999</v>
      </c>
      <c r="C1212" s="2">
        <f t="shared" si="108"/>
        <v>-2.8188995277987905E-3</v>
      </c>
      <c r="D1212">
        <f t="shared" si="111"/>
        <v>7910.4325195999991</v>
      </c>
      <c r="E1212">
        <f t="shared" si="112"/>
        <v>0</v>
      </c>
      <c r="F1212" s="2">
        <f t="shared" si="113"/>
        <v>0</v>
      </c>
      <c r="G1212" s="2">
        <f t="shared" si="109"/>
        <v>11.080190533902336</v>
      </c>
      <c r="H1212" s="2">
        <f t="shared" si="110"/>
        <v>38.270001913624078</v>
      </c>
    </row>
    <row r="1213" spans="1:8" x14ac:dyDescent="0.3">
      <c r="A1213" s="1">
        <v>43763</v>
      </c>
      <c r="B1213">
        <v>8660.7001949999994</v>
      </c>
      <c r="C1213" s="2">
        <f t="shared" si="108"/>
        <v>0.15576341819219142</v>
      </c>
      <c r="D1213">
        <f t="shared" si="111"/>
        <v>7998.1569336000002</v>
      </c>
      <c r="E1213">
        <f t="shared" si="112"/>
        <v>1</v>
      </c>
      <c r="F1213" s="2">
        <f t="shared" si="113"/>
        <v>0</v>
      </c>
      <c r="G1213" s="2">
        <f t="shared" si="109"/>
        <v>12.806078885683727</v>
      </c>
      <c r="H1213" s="2">
        <f t="shared" si="110"/>
        <v>38.270001913624078</v>
      </c>
    </row>
    <row r="1214" spans="1:8" x14ac:dyDescent="0.3">
      <c r="A1214" s="1">
        <v>43764</v>
      </c>
      <c r="B1214">
        <v>9244.9726559999999</v>
      </c>
      <c r="C1214" s="2">
        <f t="shared" si="108"/>
        <v>6.7462497008880851E-2</v>
      </c>
      <c r="D1214">
        <f t="shared" si="111"/>
        <v>8198.4073241999995</v>
      </c>
      <c r="E1214">
        <f t="shared" si="112"/>
        <v>1</v>
      </c>
      <c r="F1214" s="2">
        <f t="shared" si="113"/>
        <v>6.7462497008880851E-2</v>
      </c>
      <c r="G1214" s="2">
        <f t="shared" si="109"/>
        <v>13.670008944204657</v>
      </c>
      <c r="H1214" s="2">
        <f t="shared" si="110"/>
        <v>40.851791803251807</v>
      </c>
    </row>
    <row r="1215" spans="1:8" x14ac:dyDescent="0.3">
      <c r="A1215" s="1">
        <v>43765</v>
      </c>
      <c r="B1215">
        <v>9551.7148440000001</v>
      </c>
      <c r="C1215" s="2">
        <f t="shared" si="108"/>
        <v>3.3179350487415826E-2</v>
      </c>
      <c r="D1215">
        <f t="shared" si="111"/>
        <v>8493.109668000001</v>
      </c>
      <c r="E1215">
        <f t="shared" si="112"/>
        <v>1</v>
      </c>
      <c r="F1215" s="2">
        <f t="shared" si="113"/>
        <v>3.3179350487415826E-2</v>
      </c>
      <c r="G1215" s="2">
        <f t="shared" si="109"/>
        <v>14.123570962130533</v>
      </c>
      <c r="H1215" s="2">
        <f t="shared" si="110"/>
        <v>42.207227721530842</v>
      </c>
    </row>
    <row r="1216" spans="1:8" x14ac:dyDescent="0.3">
      <c r="A1216" s="1">
        <v>43766</v>
      </c>
      <c r="B1216">
        <v>9256.1484380000002</v>
      </c>
      <c r="C1216" s="2">
        <f t="shared" si="108"/>
        <v>-3.0943805466058572E-2</v>
      </c>
      <c r="D1216">
        <f t="shared" si="111"/>
        <v>8841.4049806000003</v>
      </c>
      <c r="E1216">
        <f t="shared" si="112"/>
        <v>1</v>
      </c>
      <c r="F1216" s="2">
        <f t="shared" si="113"/>
        <v>-3.0943805466058572E-2</v>
      </c>
      <c r="G1216" s="2">
        <f t="shared" si="109"/>
        <v>13.686533929792292</v>
      </c>
      <c r="H1216" s="2">
        <f t="shared" si="110"/>
        <v>40.901175477654157</v>
      </c>
    </row>
    <row r="1217" spans="1:8" x14ac:dyDescent="0.3">
      <c r="A1217" s="1">
        <v>43767</v>
      </c>
      <c r="B1217">
        <v>9427.6875</v>
      </c>
      <c r="C1217" s="2">
        <f t="shared" si="108"/>
        <v>1.8532445017386268E-2</v>
      </c>
      <c r="D1217">
        <f t="shared" si="111"/>
        <v>9228.2447265999999</v>
      </c>
      <c r="E1217">
        <f t="shared" si="112"/>
        <v>1</v>
      </c>
      <c r="F1217" s="2">
        <f t="shared" si="113"/>
        <v>1.8532445017386268E-2</v>
      </c>
      <c r="G1217" s="2">
        <f t="shared" si="109"/>
        <v>13.940178867324759</v>
      </c>
      <c r="H1217" s="2">
        <f t="shared" si="110"/>
        <v>41.659174263340248</v>
      </c>
    </row>
    <row r="1218" spans="1:8" x14ac:dyDescent="0.3">
      <c r="A1218" s="1">
        <v>43768</v>
      </c>
      <c r="B1218">
        <v>9205.7265630000002</v>
      </c>
      <c r="C1218" s="2">
        <f t="shared" si="108"/>
        <v>-2.3543518704878585E-2</v>
      </c>
      <c r="D1218">
        <f t="shared" si="111"/>
        <v>9337.2500002000015</v>
      </c>
      <c r="E1218">
        <f t="shared" si="112"/>
        <v>0</v>
      </c>
      <c r="F1218" s="2">
        <f t="shared" si="113"/>
        <v>-2.3543518704878585E-2</v>
      </c>
      <c r="G1218" s="2">
        <f t="shared" si="109"/>
        <v>13.611978005412546</v>
      </c>
      <c r="H1218" s="2">
        <f t="shared" si="110"/>
        <v>40.678370714841499</v>
      </c>
    </row>
    <row r="1219" spans="1:8" x14ac:dyDescent="0.3">
      <c r="A1219" s="1">
        <v>43769</v>
      </c>
      <c r="B1219">
        <v>9199.5849610000005</v>
      </c>
      <c r="C1219" s="2">
        <f t="shared" si="108"/>
        <v>-6.6715016549423467E-4</v>
      </c>
      <c r="D1219">
        <f t="shared" si="111"/>
        <v>9328.1724611999998</v>
      </c>
      <c r="E1219">
        <f t="shared" si="112"/>
        <v>0</v>
      </c>
      <c r="F1219" s="2">
        <f t="shared" si="113"/>
        <v>0</v>
      </c>
      <c r="G1219" s="2">
        <f t="shared" si="109"/>
        <v>13.602896772033532</v>
      </c>
      <c r="H1219" s="2">
        <f t="shared" si="110"/>
        <v>40.678370714841499</v>
      </c>
    </row>
    <row r="1220" spans="1:8" x14ac:dyDescent="0.3">
      <c r="A1220" s="1">
        <v>43770</v>
      </c>
      <c r="B1220">
        <v>9261.1044920000004</v>
      </c>
      <c r="C1220" s="2">
        <f t="shared" ref="C1220:C1283" si="114">B1220/B1219-1</f>
        <v>6.6872072230215185E-3</v>
      </c>
      <c r="D1220">
        <f t="shared" si="111"/>
        <v>9270.0503907999991</v>
      </c>
      <c r="E1220">
        <f t="shared" si="112"/>
        <v>0</v>
      </c>
      <c r="F1220" s="2">
        <f t="shared" si="113"/>
        <v>0</v>
      </c>
      <c r="G1220" s="2">
        <f t="shared" ref="G1220:G1283" si="115">(1+C1220)*G1219</f>
        <v>13.693862161581491</v>
      </c>
      <c r="H1220" s="2">
        <f t="shared" ref="H1220:H1283" si="116">(1+F1220)*H1219</f>
        <v>40.678370714841499</v>
      </c>
    </row>
    <row r="1221" spans="1:8" x14ac:dyDescent="0.3">
      <c r="A1221" s="1">
        <v>43771</v>
      </c>
      <c r="B1221">
        <v>9324.7177730000003</v>
      </c>
      <c r="C1221" s="2">
        <f t="shared" si="114"/>
        <v>6.8688654852075981E-3</v>
      </c>
      <c r="D1221">
        <f t="shared" si="111"/>
        <v>9283.7642577999995</v>
      </c>
      <c r="E1221">
        <f t="shared" si="112"/>
        <v>1</v>
      </c>
      <c r="F1221" s="2">
        <f t="shared" si="113"/>
        <v>0</v>
      </c>
      <c r="G1221" s="2">
        <f t="shared" si="115"/>
        <v>13.787923458742368</v>
      </c>
      <c r="H1221" s="2">
        <f t="shared" si="116"/>
        <v>40.678370714841499</v>
      </c>
    </row>
    <row r="1222" spans="1:8" x14ac:dyDescent="0.3">
      <c r="A1222" s="1">
        <v>43772</v>
      </c>
      <c r="B1222">
        <v>9235.3544920000004</v>
      </c>
      <c r="C1222" s="2">
        <f t="shared" si="114"/>
        <v>-9.583483723094921E-3</v>
      </c>
      <c r="D1222">
        <f t="shared" si="111"/>
        <v>9245.2976562000003</v>
      </c>
      <c r="E1222">
        <f t="shared" si="112"/>
        <v>0</v>
      </c>
      <c r="F1222" s="2">
        <f t="shared" si="113"/>
        <v>-9.583483723094921E-3</v>
      </c>
      <c r="G1222" s="2">
        <f t="shared" si="115"/>
        <v>13.655787118700232</v>
      </c>
      <c r="H1222" s="2">
        <f t="shared" si="116"/>
        <v>40.288530211213796</v>
      </c>
    </row>
    <row r="1223" spans="1:8" x14ac:dyDescent="0.3">
      <c r="A1223" s="1">
        <v>43773</v>
      </c>
      <c r="B1223">
        <v>9412.6123050000006</v>
      </c>
      <c r="C1223" s="2">
        <f t="shared" si="114"/>
        <v>1.9193395678914982E-2</v>
      </c>
      <c r="D1223">
        <f t="shared" ref="D1223:D1286" si="117">AVERAGE(B1219:B1223)</f>
        <v>9286.6748046000012</v>
      </c>
      <c r="E1223">
        <f t="shared" ref="E1223:E1286" si="118">IF(B1223&gt;D1223,1,0)</f>
        <v>1</v>
      </c>
      <c r="F1223" s="2">
        <f t="shared" si="113"/>
        <v>0</v>
      </c>
      <c r="G1223" s="2">
        <f t="shared" si="115"/>
        <v>13.917888044176475</v>
      </c>
      <c r="H1223" s="2">
        <f t="shared" si="116"/>
        <v>40.288530211213796</v>
      </c>
    </row>
    <row r="1224" spans="1:8" x14ac:dyDescent="0.3">
      <c r="A1224" s="1">
        <v>43774</v>
      </c>
      <c r="B1224">
        <v>9342.5273440000001</v>
      </c>
      <c r="C1224" s="2">
        <f t="shared" si="114"/>
        <v>-7.4458565517216968E-3</v>
      </c>
      <c r="D1224">
        <f t="shared" si="117"/>
        <v>9315.2632812000011</v>
      </c>
      <c r="E1224">
        <f t="shared" si="118"/>
        <v>1</v>
      </c>
      <c r="F1224" s="2">
        <f t="shared" ref="F1224:F1287" si="119">E1223*C1224</f>
        <v>-7.4458565517216968E-3</v>
      </c>
      <c r="G1224" s="2">
        <f t="shared" si="115"/>
        <v>13.814257446296615</v>
      </c>
      <c r="H1224" s="2">
        <f t="shared" si="116"/>
        <v>39.988547594581391</v>
      </c>
    </row>
    <row r="1225" spans="1:8" x14ac:dyDescent="0.3">
      <c r="A1225" s="1">
        <v>43775</v>
      </c>
      <c r="B1225">
        <v>9360.8798829999996</v>
      </c>
      <c r="C1225" s="2">
        <f t="shared" si="114"/>
        <v>1.9644083794718714E-3</v>
      </c>
      <c r="D1225">
        <f t="shared" si="117"/>
        <v>9335.2183594000016</v>
      </c>
      <c r="E1225">
        <f t="shared" si="118"/>
        <v>1</v>
      </c>
      <c r="F1225" s="2">
        <f t="shared" si="119"/>
        <v>1.9644083794718714E-3</v>
      </c>
      <c r="G1225" s="2">
        <f t="shared" si="115"/>
        <v>13.841394289380302</v>
      </c>
      <c r="H1225" s="2">
        <f t="shared" si="116"/>
        <v>40.067101432559099</v>
      </c>
    </row>
    <row r="1226" spans="1:8" x14ac:dyDescent="0.3">
      <c r="A1226" s="1">
        <v>43776</v>
      </c>
      <c r="B1226">
        <v>9267.5615230000003</v>
      </c>
      <c r="C1226" s="2">
        <f t="shared" si="114"/>
        <v>-9.968973127138625E-3</v>
      </c>
      <c r="D1226">
        <f t="shared" si="117"/>
        <v>9323.7871094000002</v>
      </c>
      <c r="E1226">
        <f t="shared" si="118"/>
        <v>0</v>
      </c>
      <c r="F1226" s="2">
        <f t="shared" si="119"/>
        <v>-9.968973127138625E-3</v>
      </c>
      <c r="G1226" s="2">
        <f t="shared" si="115"/>
        <v>13.703409801667339</v>
      </c>
      <c r="H1226" s="2">
        <f t="shared" si="116"/>
        <v>39.667673575095577</v>
      </c>
    </row>
    <row r="1227" spans="1:8" x14ac:dyDescent="0.3">
      <c r="A1227" s="1">
        <v>43777</v>
      </c>
      <c r="B1227">
        <v>8804.8808590000008</v>
      </c>
      <c r="C1227" s="2">
        <f t="shared" si="114"/>
        <v>-4.9924746963020405E-2</v>
      </c>
      <c r="D1227">
        <f t="shared" si="117"/>
        <v>9237.6923827999999</v>
      </c>
      <c r="E1227">
        <f t="shared" si="118"/>
        <v>0</v>
      </c>
      <c r="F1227" s="2">
        <f t="shared" si="119"/>
        <v>0</v>
      </c>
      <c r="G1227" s="2">
        <f t="shared" si="115"/>
        <v>13.019270534788523</v>
      </c>
      <c r="H1227" s="2">
        <f t="shared" si="116"/>
        <v>39.667673575095577</v>
      </c>
    </row>
    <row r="1228" spans="1:8" x14ac:dyDescent="0.3">
      <c r="A1228" s="1">
        <v>43778</v>
      </c>
      <c r="B1228">
        <v>8813.5820309999999</v>
      </c>
      <c r="C1228" s="2">
        <f t="shared" si="114"/>
        <v>9.8822143528543016E-4</v>
      </c>
      <c r="D1228">
        <f t="shared" si="117"/>
        <v>9117.8863279999987</v>
      </c>
      <c r="E1228">
        <f t="shared" si="118"/>
        <v>0</v>
      </c>
      <c r="F1228" s="2">
        <f t="shared" si="119"/>
        <v>0</v>
      </c>
      <c r="G1228" s="2">
        <f t="shared" si="115"/>
        <v>13.032136457002782</v>
      </c>
      <c r="H1228" s="2">
        <f t="shared" si="116"/>
        <v>39.667673575095577</v>
      </c>
    </row>
    <row r="1229" spans="1:8" x14ac:dyDescent="0.3">
      <c r="A1229" s="1">
        <v>43779</v>
      </c>
      <c r="B1229">
        <v>9055.5263670000004</v>
      </c>
      <c r="C1229" s="2">
        <f t="shared" si="114"/>
        <v>2.7451305853739116E-2</v>
      </c>
      <c r="D1229">
        <f t="shared" si="117"/>
        <v>9060.4861325999991</v>
      </c>
      <c r="E1229">
        <f t="shared" si="118"/>
        <v>0</v>
      </c>
      <c r="F1229" s="2">
        <f t="shared" si="119"/>
        <v>0</v>
      </c>
      <c r="G1229" s="2">
        <f t="shared" si="115"/>
        <v>13.389885620811629</v>
      </c>
      <c r="H1229" s="2">
        <f t="shared" si="116"/>
        <v>39.667673575095577</v>
      </c>
    </row>
    <row r="1230" spans="1:8" x14ac:dyDescent="0.3">
      <c r="A1230" s="1">
        <v>43780</v>
      </c>
      <c r="B1230">
        <v>8757.7880860000005</v>
      </c>
      <c r="C1230" s="2">
        <f t="shared" si="114"/>
        <v>-3.2879179954134141E-2</v>
      </c>
      <c r="D1230">
        <f t="shared" si="117"/>
        <v>8939.8677731999996</v>
      </c>
      <c r="E1230">
        <f t="shared" si="118"/>
        <v>0</v>
      </c>
      <c r="F1230" s="2">
        <f t="shared" si="119"/>
        <v>0</v>
      </c>
      <c r="G1230" s="2">
        <f t="shared" si="115"/>
        <v>12.949637161919691</v>
      </c>
      <c r="H1230" s="2">
        <f t="shared" si="116"/>
        <v>39.667673575095577</v>
      </c>
    </row>
    <row r="1231" spans="1:8" x14ac:dyDescent="0.3">
      <c r="A1231" s="1">
        <v>43781</v>
      </c>
      <c r="B1231">
        <v>8815.6621090000008</v>
      </c>
      <c r="C1231" s="2">
        <f t="shared" si="114"/>
        <v>6.6082922344874451E-3</v>
      </c>
      <c r="D1231">
        <f t="shared" si="117"/>
        <v>8849.4878904000016</v>
      </c>
      <c r="E1231">
        <f t="shared" si="118"/>
        <v>0</v>
      </c>
      <c r="F1231" s="2">
        <f t="shared" si="119"/>
        <v>0</v>
      </c>
      <c r="G1231" s="2">
        <f t="shared" si="115"/>
        <v>13.035212148616235</v>
      </c>
      <c r="H1231" s="2">
        <f t="shared" si="116"/>
        <v>39.667673575095577</v>
      </c>
    </row>
    <row r="1232" spans="1:8" x14ac:dyDescent="0.3">
      <c r="A1232" s="1">
        <v>43782</v>
      </c>
      <c r="B1232">
        <v>8808.2626949999994</v>
      </c>
      <c r="C1232" s="2">
        <f t="shared" si="114"/>
        <v>-8.3934863978596397E-4</v>
      </c>
      <c r="D1232">
        <f t="shared" si="117"/>
        <v>8850.1642575999995</v>
      </c>
      <c r="E1232">
        <f t="shared" si="118"/>
        <v>0</v>
      </c>
      <c r="F1232" s="2">
        <f t="shared" si="119"/>
        <v>0</v>
      </c>
      <c r="G1232" s="2">
        <f t="shared" si="115"/>
        <v>13.024271061029973</v>
      </c>
      <c r="H1232" s="2">
        <f t="shared" si="116"/>
        <v>39.667673575095577</v>
      </c>
    </row>
    <row r="1233" spans="1:8" x14ac:dyDescent="0.3">
      <c r="A1233" s="1">
        <v>43783</v>
      </c>
      <c r="B1233">
        <v>8708.0947269999997</v>
      </c>
      <c r="C1233" s="2">
        <f t="shared" si="114"/>
        <v>-1.1372045937828368E-2</v>
      </c>
      <c r="D1233">
        <f t="shared" si="117"/>
        <v>8829.0667967999998</v>
      </c>
      <c r="E1233">
        <f t="shared" si="118"/>
        <v>0</v>
      </c>
      <c r="F1233" s="2">
        <f t="shared" si="119"/>
        <v>0</v>
      </c>
      <c r="G1233" s="2">
        <f t="shared" si="115"/>
        <v>12.876158452217211</v>
      </c>
      <c r="H1233" s="2">
        <f t="shared" si="116"/>
        <v>39.667673575095577</v>
      </c>
    </row>
    <row r="1234" spans="1:8" x14ac:dyDescent="0.3">
      <c r="A1234" s="1">
        <v>43784</v>
      </c>
      <c r="B1234">
        <v>8491.9921880000002</v>
      </c>
      <c r="C1234" s="2">
        <f t="shared" si="114"/>
        <v>-2.4816282525034983E-2</v>
      </c>
      <c r="D1234">
        <f t="shared" si="117"/>
        <v>8716.3599610000001</v>
      </c>
      <c r="E1234">
        <f t="shared" si="118"/>
        <v>0</v>
      </c>
      <c r="F1234" s="2">
        <f t="shared" si="119"/>
        <v>0</v>
      </c>
      <c r="G1234" s="2">
        <f t="shared" si="115"/>
        <v>12.556620066229872</v>
      </c>
      <c r="H1234" s="2">
        <f t="shared" si="116"/>
        <v>39.667673575095577</v>
      </c>
    </row>
    <row r="1235" spans="1:8" x14ac:dyDescent="0.3">
      <c r="A1235" s="1">
        <v>43785</v>
      </c>
      <c r="B1235">
        <v>8550.7607420000004</v>
      </c>
      <c r="C1235" s="2">
        <f t="shared" si="114"/>
        <v>6.9204672706888459E-3</v>
      </c>
      <c r="D1235">
        <f t="shared" si="117"/>
        <v>8674.9544922000005</v>
      </c>
      <c r="E1235">
        <f t="shared" si="118"/>
        <v>0</v>
      </c>
      <c r="F1235" s="2">
        <f t="shared" si="119"/>
        <v>0</v>
      </c>
      <c r="G1235" s="2">
        <f t="shared" si="115"/>
        <v>12.64351774442869</v>
      </c>
      <c r="H1235" s="2">
        <f t="shared" si="116"/>
        <v>39.667673575095577</v>
      </c>
    </row>
    <row r="1236" spans="1:8" x14ac:dyDescent="0.3">
      <c r="A1236" s="1">
        <v>43786</v>
      </c>
      <c r="B1236">
        <v>8577.9755860000005</v>
      </c>
      <c r="C1236" s="2">
        <f t="shared" si="114"/>
        <v>3.1827395036707617E-3</v>
      </c>
      <c r="D1236">
        <f t="shared" si="117"/>
        <v>8627.4171876</v>
      </c>
      <c r="E1236">
        <f t="shared" si="118"/>
        <v>0</v>
      </c>
      <c r="F1236" s="2">
        <f t="shared" si="119"/>
        <v>0</v>
      </c>
      <c r="G1236" s="2">
        <f t="shared" si="115"/>
        <v>12.683758767819246</v>
      </c>
      <c r="H1236" s="2">
        <f t="shared" si="116"/>
        <v>39.667673575095577</v>
      </c>
    </row>
    <row r="1237" spans="1:8" x14ac:dyDescent="0.3">
      <c r="A1237" s="1">
        <v>43787</v>
      </c>
      <c r="B1237">
        <v>8309.2861329999996</v>
      </c>
      <c r="C1237" s="2">
        <f t="shared" si="114"/>
        <v>-3.1323177631622734E-2</v>
      </c>
      <c r="D1237">
        <f t="shared" si="117"/>
        <v>8527.6218752000004</v>
      </c>
      <c r="E1237">
        <f t="shared" si="118"/>
        <v>0</v>
      </c>
      <c r="F1237" s="2">
        <f t="shared" si="119"/>
        <v>0</v>
      </c>
      <c r="G1237" s="2">
        <f t="shared" si="115"/>
        <v>12.28646313889819</v>
      </c>
      <c r="H1237" s="2">
        <f t="shared" si="116"/>
        <v>39.667673575095577</v>
      </c>
    </row>
    <row r="1238" spans="1:8" x14ac:dyDescent="0.3">
      <c r="A1238" s="1">
        <v>43788</v>
      </c>
      <c r="B1238">
        <v>8206.1455079999996</v>
      </c>
      <c r="C1238" s="2">
        <f t="shared" si="114"/>
        <v>-1.2412693864323754E-2</v>
      </c>
      <c r="D1238">
        <f t="shared" si="117"/>
        <v>8427.2320314000008</v>
      </c>
      <c r="E1238">
        <f t="shared" si="118"/>
        <v>0</v>
      </c>
      <c r="F1238" s="2">
        <f t="shared" si="119"/>
        <v>0</v>
      </c>
      <c r="G1238" s="2">
        <f t="shared" si="115"/>
        <v>12.133955033279749</v>
      </c>
      <c r="H1238" s="2">
        <f t="shared" si="116"/>
        <v>39.667673575095577</v>
      </c>
    </row>
    <row r="1239" spans="1:8" x14ac:dyDescent="0.3">
      <c r="A1239" s="1">
        <v>43789</v>
      </c>
      <c r="B1239">
        <v>8027.2680659999996</v>
      </c>
      <c r="C1239" s="2">
        <f t="shared" si="114"/>
        <v>-2.1797985646929585E-2</v>
      </c>
      <c r="D1239">
        <f t="shared" si="117"/>
        <v>8334.2872069999994</v>
      </c>
      <c r="E1239">
        <f t="shared" si="118"/>
        <v>0</v>
      </c>
      <c r="F1239" s="2">
        <f t="shared" si="119"/>
        <v>0</v>
      </c>
      <c r="G1239" s="2">
        <f t="shared" si="115"/>
        <v>11.869459255623829</v>
      </c>
      <c r="H1239" s="2">
        <f t="shared" si="116"/>
        <v>39.667673575095577</v>
      </c>
    </row>
    <row r="1240" spans="1:8" x14ac:dyDescent="0.3">
      <c r="A1240" s="1">
        <v>43790</v>
      </c>
      <c r="B1240">
        <v>7642.75</v>
      </c>
      <c r="C1240" s="2">
        <f t="shared" si="114"/>
        <v>-4.7901485641005381E-2</v>
      </c>
      <c r="D1240">
        <f t="shared" si="117"/>
        <v>8152.6850586</v>
      </c>
      <c r="E1240">
        <f t="shared" si="118"/>
        <v>0</v>
      </c>
      <c r="F1240" s="2">
        <f t="shared" si="119"/>
        <v>0</v>
      </c>
      <c r="G1240" s="2">
        <f t="shared" si="115"/>
        <v>11.300894523524066</v>
      </c>
      <c r="H1240" s="2">
        <f t="shared" si="116"/>
        <v>39.667673575095577</v>
      </c>
    </row>
    <row r="1241" spans="1:8" x14ac:dyDescent="0.3">
      <c r="A1241" s="1">
        <v>43791</v>
      </c>
      <c r="B1241">
        <v>7296.5776370000003</v>
      </c>
      <c r="C1241" s="2">
        <f t="shared" si="114"/>
        <v>-4.5294215171240659E-2</v>
      </c>
      <c r="D1241">
        <f t="shared" si="117"/>
        <v>7896.4054688000006</v>
      </c>
      <c r="E1241">
        <f t="shared" si="118"/>
        <v>0</v>
      </c>
      <c r="F1241" s="2">
        <f t="shared" si="119"/>
        <v>0</v>
      </c>
      <c r="G1241" s="2">
        <f t="shared" si="115"/>
        <v>10.789029375348072</v>
      </c>
      <c r="H1241" s="2">
        <f t="shared" si="116"/>
        <v>39.667673575095577</v>
      </c>
    </row>
    <row r="1242" spans="1:8" x14ac:dyDescent="0.3">
      <c r="A1242" s="1">
        <v>43792</v>
      </c>
      <c r="B1242">
        <v>7397.796875</v>
      </c>
      <c r="C1242" s="2">
        <f t="shared" si="114"/>
        <v>1.3872152539942784E-2</v>
      </c>
      <c r="D1242">
        <f t="shared" si="117"/>
        <v>7714.1076172000003</v>
      </c>
      <c r="E1242">
        <f t="shared" si="118"/>
        <v>0</v>
      </c>
      <c r="F1242" s="2">
        <f t="shared" si="119"/>
        <v>0</v>
      </c>
      <c r="G1242" s="2">
        <f t="shared" si="115"/>
        <v>10.938696436600823</v>
      </c>
      <c r="H1242" s="2">
        <f t="shared" si="116"/>
        <v>39.667673575095577</v>
      </c>
    </row>
    <row r="1243" spans="1:8" x14ac:dyDescent="0.3">
      <c r="A1243" s="1">
        <v>43793</v>
      </c>
      <c r="B1243">
        <v>7047.9169920000004</v>
      </c>
      <c r="C1243" s="2">
        <f t="shared" si="114"/>
        <v>-4.7295145961952278E-2</v>
      </c>
      <c r="D1243">
        <f t="shared" si="117"/>
        <v>7482.4619139999995</v>
      </c>
      <c r="E1243">
        <f t="shared" si="118"/>
        <v>0</v>
      </c>
      <c r="F1243" s="2">
        <f t="shared" si="119"/>
        <v>0</v>
      </c>
      <c r="G1243" s="2">
        <f t="shared" si="115"/>
        <v>10.421349191998299</v>
      </c>
      <c r="H1243" s="2">
        <f t="shared" si="116"/>
        <v>39.667673575095577</v>
      </c>
    </row>
    <row r="1244" spans="1:8" x14ac:dyDescent="0.3">
      <c r="A1244" s="1">
        <v>43794</v>
      </c>
      <c r="B1244">
        <v>7146.1337890000004</v>
      </c>
      <c r="C1244" s="2">
        <f t="shared" si="114"/>
        <v>1.3935578002902904E-2</v>
      </c>
      <c r="D1244">
        <f t="shared" si="117"/>
        <v>7306.2350586000002</v>
      </c>
      <c r="E1244">
        <f t="shared" si="118"/>
        <v>0</v>
      </c>
      <c r="F1244" s="2">
        <f t="shared" si="119"/>
        <v>0</v>
      </c>
      <c r="G1244" s="2">
        <f t="shared" si="115"/>
        <v>10.566576716558881</v>
      </c>
      <c r="H1244" s="2">
        <f t="shared" si="116"/>
        <v>39.667673575095577</v>
      </c>
    </row>
    <row r="1245" spans="1:8" x14ac:dyDescent="0.3">
      <c r="A1245" s="1">
        <v>43795</v>
      </c>
      <c r="B1245">
        <v>7218.3710940000001</v>
      </c>
      <c r="C1245" s="2">
        <f t="shared" si="114"/>
        <v>1.0108585583885166E-2</v>
      </c>
      <c r="D1245">
        <f t="shared" si="117"/>
        <v>7221.3592774000008</v>
      </c>
      <c r="E1245">
        <f t="shared" si="118"/>
        <v>0</v>
      </c>
      <c r="F1245" s="2">
        <f t="shared" si="119"/>
        <v>0</v>
      </c>
      <c r="G1245" s="2">
        <f t="shared" si="115"/>
        <v>10.673389861626905</v>
      </c>
      <c r="H1245" s="2">
        <f t="shared" si="116"/>
        <v>39.667673575095577</v>
      </c>
    </row>
    <row r="1246" spans="1:8" x14ac:dyDescent="0.3">
      <c r="A1246" s="1">
        <v>43796</v>
      </c>
      <c r="B1246">
        <v>7531.6635740000002</v>
      </c>
      <c r="C1246" s="2">
        <f t="shared" si="114"/>
        <v>4.3402102208407234E-2</v>
      </c>
      <c r="D1246">
        <f t="shared" si="117"/>
        <v>7268.3764647999997</v>
      </c>
      <c r="E1246">
        <f t="shared" si="118"/>
        <v>1</v>
      </c>
      <c r="F1246" s="2">
        <f t="shared" si="119"/>
        <v>0</v>
      </c>
      <c r="G1246" s="2">
        <f t="shared" si="115"/>
        <v>11.136637419311414</v>
      </c>
      <c r="H1246" s="2">
        <f t="shared" si="116"/>
        <v>39.667673575095577</v>
      </c>
    </row>
    <row r="1247" spans="1:8" x14ac:dyDescent="0.3">
      <c r="A1247" s="1">
        <v>43797</v>
      </c>
      <c r="B1247">
        <v>7463.1059569999998</v>
      </c>
      <c r="C1247" s="2">
        <f t="shared" si="114"/>
        <v>-9.1025862117192213E-3</v>
      </c>
      <c r="D1247">
        <f t="shared" si="117"/>
        <v>7281.4382811999994</v>
      </c>
      <c r="E1247">
        <f t="shared" si="118"/>
        <v>1</v>
      </c>
      <c r="F1247" s="2">
        <f t="shared" si="119"/>
        <v>-9.1025862117192213E-3</v>
      </c>
      <c r="G1247" s="2">
        <f t="shared" si="115"/>
        <v>11.035265217093475</v>
      </c>
      <c r="H1247" s="2">
        <f t="shared" si="116"/>
        <v>39.306595156559936</v>
      </c>
    </row>
    <row r="1248" spans="1:8" x14ac:dyDescent="0.3">
      <c r="A1248" s="1">
        <v>43798</v>
      </c>
      <c r="B1248">
        <v>7761.2436520000001</v>
      </c>
      <c r="C1248" s="2">
        <f t="shared" si="114"/>
        <v>3.9948206111205309E-2</v>
      </c>
      <c r="D1248">
        <f t="shared" si="117"/>
        <v>7424.103613199999</v>
      </c>
      <c r="E1248">
        <f t="shared" si="118"/>
        <v>1</v>
      </c>
      <c r="F1248" s="2">
        <f t="shared" si="119"/>
        <v>3.9948206111205309E-2</v>
      </c>
      <c r="G1248" s="2">
        <f t="shared" si="115"/>
        <v>11.476104266477739</v>
      </c>
      <c r="H1248" s="2">
        <f t="shared" si="116"/>
        <v>40.876823121403895</v>
      </c>
    </row>
    <row r="1249" spans="1:8" x14ac:dyDescent="0.3">
      <c r="A1249" s="1">
        <v>43799</v>
      </c>
      <c r="B1249">
        <v>7569.6298829999996</v>
      </c>
      <c r="C1249" s="2">
        <f t="shared" si="114"/>
        <v>-2.4688539310400825E-2</v>
      </c>
      <c r="D1249">
        <f t="shared" si="117"/>
        <v>7508.8028319999994</v>
      </c>
      <c r="E1249">
        <f t="shared" si="118"/>
        <v>1</v>
      </c>
      <c r="F1249" s="2">
        <f t="shared" si="119"/>
        <v>-2.4688539310400825E-2</v>
      </c>
      <c r="G1249" s="2">
        <f t="shared" si="115"/>
        <v>11.192776015164544</v>
      </c>
      <c r="H1249" s="2">
        <f t="shared" si="116"/>
        <v>39.867634066886815</v>
      </c>
    </row>
    <row r="1250" spans="1:8" x14ac:dyDescent="0.3">
      <c r="A1250" s="1">
        <v>43800</v>
      </c>
      <c r="B1250">
        <v>7424.2924800000001</v>
      </c>
      <c r="C1250" s="2">
        <f t="shared" si="114"/>
        <v>-1.9200067274940391E-2</v>
      </c>
      <c r="D1250">
        <f t="shared" si="117"/>
        <v>7549.9871091999985</v>
      </c>
      <c r="E1250">
        <f t="shared" si="118"/>
        <v>0</v>
      </c>
      <c r="F1250" s="2">
        <f t="shared" si="119"/>
        <v>-1.9200067274940391E-2</v>
      </c>
      <c r="G1250" s="2">
        <f t="shared" si="115"/>
        <v>10.977873962680045</v>
      </c>
      <c r="H1250" s="2">
        <f t="shared" si="116"/>
        <v>39.102172810709881</v>
      </c>
    </row>
    <row r="1251" spans="1:8" x14ac:dyDescent="0.3">
      <c r="A1251" s="1">
        <v>43801</v>
      </c>
      <c r="B1251">
        <v>7321.9882809999999</v>
      </c>
      <c r="C1251" s="2">
        <f t="shared" si="114"/>
        <v>-1.377965634780598E-2</v>
      </c>
      <c r="D1251">
        <f t="shared" si="117"/>
        <v>7508.0520506000003</v>
      </c>
      <c r="E1251">
        <f t="shared" si="118"/>
        <v>0</v>
      </c>
      <c r="F1251" s="2">
        <f t="shared" si="119"/>
        <v>0</v>
      </c>
      <c r="G1251" s="2">
        <f t="shared" si="115"/>
        <v>10.826602632044787</v>
      </c>
      <c r="H1251" s="2">
        <f t="shared" si="116"/>
        <v>39.102172810709881</v>
      </c>
    </row>
    <row r="1252" spans="1:8" x14ac:dyDescent="0.3">
      <c r="A1252" s="1">
        <v>43802</v>
      </c>
      <c r="B1252">
        <v>7320.1455079999996</v>
      </c>
      <c r="C1252" s="2">
        <f t="shared" si="114"/>
        <v>-2.5167658418445704E-4</v>
      </c>
      <c r="D1252">
        <f t="shared" si="117"/>
        <v>7479.4599608000008</v>
      </c>
      <c r="E1252">
        <f t="shared" si="118"/>
        <v>0</v>
      </c>
      <c r="F1252" s="2">
        <f t="shared" si="119"/>
        <v>0</v>
      </c>
      <c r="G1252" s="2">
        <f t="shared" si="115"/>
        <v>10.823877829676032</v>
      </c>
      <c r="H1252" s="2">
        <f t="shared" si="116"/>
        <v>39.102172810709881</v>
      </c>
    </row>
    <row r="1253" spans="1:8" x14ac:dyDescent="0.3">
      <c r="A1253" s="1">
        <v>43803</v>
      </c>
      <c r="B1253">
        <v>7252.0346680000002</v>
      </c>
      <c r="C1253" s="2">
        <f t="shared" si="114"/>
        <v>-9.3045746051855227E-3</v>
      </c>
      <c r="D1253">
        <f t="shared" si="117"/>
        <v>7377.6181639999995</v>
      </c>
      <c r="E1253">
        <f t="shared" si="118"/>
        <v>0</v>
      </c>
      <c r="F1253" s="2">
        <f t="shared" si="119"/>
        <v>0</v>
      </c>
      <c r="G1253" s="2">
        <f t="shared" si="115"/>
        <v>10.723166250892397</v>
      </c>
      <c r="H1253" s="2">
        <f t="shared" si="116"/>
        <v>39.102172810709881</v>
      </c>
    </row>
    <row r="1254" spans="1:8" x14ac:dyDescent="0.3">
      <c r="A1254" s="1">
        <v>43804</v>
      </c>
      <c r="B1254">
        <v>7448.3076170000004</v>
      </c>
      <c r="C1254" s="2">
        <f t="shared" si="114"/>
        <v>2.7064535400811662E-2</v>
      </c>
      <c r="D1254">
        <f t="shared" si="117"/>
        <v>7353.3537108</v>
      </c>
      <c r="E1254">
        <f t="shared" si="118"/>
        <v>1</v>
      </c>
      <c r="F1254" s="2">
        <f t="shared" si="119"/>
        <v>0</v>
      </c>
      <c r="G1254" s="2">
        <f t="shared" si="115"/>
        <v>11.013383763498464</v>
      </c>
      <c r="H1254" s="2">
        <f t="shared" si="116"/>
        <v>39.102172810709881</v>
      </c>
    </row>
    <row r="1255" spans="1:8" x14ac:dyDescent="0.3">
      <c r="A1255" s="1">
        <v>43805</v>
      </c>
      <c r="B1255">
        <v>7546.9965819999998</v>
      </c>
      <c r="C1255" s="2">
        <f t="shared" si="114"/>
        <v>1.3249850848634726E-2</v>
      </c>
      <c r="D1255">
        <f t="shared" si="117"/>
        <v>7377.8945311999996</v>
      </c>
      <c r="E1255">
        <f t="shared" si="118"/>
        <v>1</v>
      </c>
      <c r="F1255" s="2">
        <f t="shared" si="119"/>
        <v>1.3249850848634726E-2</v>
      </c>
      <c r="G1255" s="2">
        <f t="shared" si="115"/>
        <v>11.159309455703594</v>
      </c>
      <c r="H1255" s="2">
        <f t="shared" si="116"/>
        <v>39.620270768309325</v>
      </c>
    </row>
    <row r="1256" spans="1:8" x14ac:dyDescent="0.3">
      <c r="A1256" s="1">
        <v>43806</v>
      </c>
      <c r="B1256">
        <v>7556.2377930000002</v>
      </c>
      <c r="C1256" s="2">
        <f t="shared" si="114"/>
        <v>1.2244885630452451E-3</v>
      </c>
      <c r="D1256">
        <f t="shared" si="117"/>
        <v>7424.7444335999999</v>
      </c>
      <c r="E1256">
        <f t="shared" si="118"/>
        <v>1</v>
      </c>
      <c r="F1256" s="2">
        <f t="shared" si="119"/>
        <v>1.2244885630452451E-3</v>
      </c>
      <c r="G1256" s="2">
        <f t="shared" si="115"/>
        <v>11.172973902503585</v>
      </c>
      <c r="H1256" s="2">
        <f t="shared" si="116"/>
        <v>39.668785336729876</v>
      </c>
    </row>
    <row r="1257" spans="1:8" x14ac:dyDescent="0.3">
      <c r="A1257" s="1">
        <v>43807</v>
      </c>
      <c r="B1257">
        <v>7564.3452150000003</v>
      </c>
      <c r="C1257" s="2">
        <f t="shared" si="114"/>
        <v>1.0729442643415688E-3</v>
      </c>
      <c r="D1257">
        <f t="shared" si="117"/>
        <v>7473.5843750000004</v>
      </c>
      <c r="E1257">
        <f t="shared" si="118"/>
        <v>1</v>
      </c>
      <c r="F1257" s="2">
        <f t="shared" si="119"/>
        <v>1.0729442643415688E-3</v>
      </c>
      <c r="G1257" s="2">
        <f t="shared" si="115"/>
        <v>11.184961880767915</v>
      </c>
      <c r="H1257" s="2">
        <f t="shared" si="116"/>
        <v>39.711347732430319</v>
      </c>
    </row>
    <row r="1258" spans="1:8" x14ac:dyDescent="0.3">
      <c r="A1258" s="1">
        <v>43808</v>
      </c>
      <c r="B1258">
        <v>7400.8994140000004</v>
      </c>
      <c r="C1258" s="2">
        <f t="shared" si="114"/>
        <v>-2.1607395796253259E-2</v>
      </c>
      <c r="D1258">
        <f t="shared" si="117"/>
        <v>7503.3573242000002</v>
      </c>
      <c r="E1258">
        <f t="shared" si="118"/>
        <v>0</v>
      </c>
      <c r="F1258" s="2">
        <f t="shared" si="119"/>
        <v>-2.1607395796253259E-2</v>
      </c>
      <c r="G1258" s="2">
        <f t="shared" si="115"/>
        <v>10.943283982444157</v>
      </c>
      <c r="H1258" s="2">
        <f t="shared" si="116"/>
        <v>38.853288924373054</v>
      </c>
    </row>
    <row r="1259" spans="1:8" x14ac:dyDescent="0.3">
      <c r="A1259" s="1">
        <v>43809</v>
      </c>
      <c r="B1259">
        <v>7278.1196289999998</v>
      </c>
      <c r="C1259" s="2">
        <f t="shared" si="114"/>
        <v>-1.6589846467544578E-2</v>
      </c>
      <c r="D1259">
        <f t="shared" si="117"/>
        <v>7469.3197266000006</v>
      </c>
      <c r="E1259">
        <f t="shared" si="118"/>
        <v>0</v>
      </c>
      <c r="F1259" s="2">
        <f t="shared" si="119"/>
        <v>0</v>
      </c>
      <c r="G1259" s="2">
        <f t="shared" si="115"/>
        <v>10.761736581324669</v>
      </c>
      <c r="H1259" s="2">
        <f t="shared" si="116"/>
        <v>38.853288924373054</v>
      </c>
    </row>
    <row r="1260" spans="1:8" x14ac:dyDescent="0.3">
      <c r="A1260" s="1">
        <v>43810</v>
      </c>
      <c r="B1260">
        <v>7217.4272460000002</v>
      </c>
      <c r="C1260" s="2">
        <f t="shared" si="114"/>
        <v>-8.3390197047831238E-3</v>
      </c>
      <c r="D1260">
        <f t="shared" si="117"/>
        <v>7403.4058593999998</v>
      </c>
      <c r="E1260">
        <f t="shared" si="118"/>
        <v>0</v>
      </c>
      <c r="F1260" s="2">
        <f t="shared" si="119"/>
        <v>0</v>
      </c>
      <c r="G1260" s="2">
        <f t="shared" si="115"/>
        <v>10.671994247915318</v>
      </c>
      <c r="H1260" s="2">
        <f t="shared" si="116"/>
        <v>38.853288924373054</v>
      </c>
    </row>
    <row r="1261" spans="1:8" x14ac:dyDescent="0.3">
      <c r="A1261" s="1">
        <v>43811</v>
      </c>
      <c r="B1261">
        <v>7243.1342770000001</v>
      </c>
      <c r="C1261" s="2">
        <f t="shared" si="114"/>
        <v>3.5617998109016558E-3</v>
      </c>
      <c r="D1261">
        <f t="shared" si="117"/>
        <v>7340.7851561999996</v>
      </c>
      <c r="E1261">
        <f t="shared" si="118"/>
        <v>0</v>
      </c>
      <c r="F1261" s="2">
        <f t="shared" si="119"/>
        <v>0</v>
      </c>
      <c r="G1261" s="2">
        <f t="shared" si="115"/>
        <v>10.710005755009487</v>
      </c>
      <c r="H1261" s="2">
        <f t="shared" si="116"/>
        <v>38.853288924373054</v>
      </c>
    </row>
    <row r="1262" spans="1:8" x14ac:dyDescent="0.3">
      <c r="A1262" s="1">
        <v>43812</v>
      </c>
      <c r="B1262">
        <v>7269.6845700000003</v>
      </c>
      <c r="C1262" s="2">
        <f t="shared" si="114"/>
        <v>3.6655806705543359E-3</v>
      </c>
      <c r="D1262">
        <f t="shared" si="117"/>
        <v>7281.8530272000007</v>
      </c>
      <c r="E1262">
        <f t="shared" si="118"/>
        <v>0</v>
      </c>
      <c r="F1262" s="2">
        <f t="shared" si="119"/>
        <v>0</v>
      </c>
      <c r="G1262" s="2">
        <f t="shared" si="115"/>
        <v>10.749264145086576</v>
      </c>
      <c r="H1262" s="2">
        <f t="shared" si="116"/>
        <v>38.853288924373054</v>
      </c>
    </row>
    <row r="1263" spans="1:8" x14ac:dyDescent="0.3">
      <c r="A1263" s="1">
        <v>43813</v>
      </c>
      <c r="B1263">
        <v>7124.673828</v>
      </c>
      <c r="C1263" s="2">
        <f t="shared" si="114"/>
        <v>-1.9947322418694791E-2</v>
      </c>
      <c r="D1263">
        <f t="shared" si="117"/>
        <v>7226.6079100000006</v>
      </c>
      <c r="E1263">
        <f t="shared" si="118"/>
        <v>0</v>
      </c>
      <c r="F1263" s="2">
        <f t="shared" si="119"/>
        <v>0</v>
      </c>
      <c r="G1263" s="2">
        <f t="shared" si="115"/>
        <v>10.534845107420818</v>
      </c>
      <c r="H1263" s="2">
        <f t="shared" si="116"/>
        <v>38.853288924373054</v>
      </c>
    </row>
    <row r="1264" spans="1:8" x14ac:dyDescent="0.3">
      <c r="A1264" s="1">
        <v>43814</v>
      </c>
      <c r="B1264">
        <v>7152.3017579999996</v>
      </c>
      <c r="C1264" s="2">
        <f t="shared" si="114"/>
        <v>3.8777817296591355E-3</v>
      </c>
      <c r="D1264">
        <f t="shared" si="117"/>
        <v>7201.4443358000008</v>
      </c>
      <c r="E1264">
        <f t="shared" si="118"/>
        <v>0</v>
      </c>
      <c r="F1264" s="2">
        <f t="shared" si="119"/>
        <v>0</v>
      </c>
      <c r="G1264" s="2">
        <f t="shared" si="115"/>
        <v>10.575696937303164</v>
      </c>
      <c r="H1264" s="2">
        <f t="shared" si="116"/>
        <v>38.853288924373054</v>
      </c>
    </row>
    <row r="1265" spans="1:8" x14ac:dyDescent="0.3">
      <c r="A1265" s="1">
        <v>43815</v>
      </c>
      <c r="B1265">
        <v>6932.4804690000001</v>
      </c>
      <c r="C1265" s="2">
        <f t="shared" si="114"/>
        <v>-3.0734342095413481E-2</v>
      </c>
      <c r="D1265">
        <f t="shared" si="117"/>
        <v>7144.4549804000007</v>
      </c>
      <c r="E1265">
        <f t="shared" si="118"/>
        <v>0</v>
      </c>
      <c r="F1265" s="2">
        <f t="shared" si="119"/>
        <v>0</v>
      </c>
      <c r="G1265" s="2">
        <f t="shared" si="115"/>
        <v>10.250659849734671</v>
      </c>
      <c r="H1265" s="2">
        <f t="shared" si="116"/>
        <v>38.853288924373054</v>
      </c>
    </row>
    <row r="1266" spans="1:8" x14ac:dyDescent="0.3">
      <c r="A1266" s="1">
        <v>43816</v>
      </c>
      <c r="B1266">
        <v>6640.5151370000003</v>
      </c>
      <c r="C1266" s="2">
        <f t="shared" si="114"/>
        <v>-4.2115565028359225E-2</v>
      </c>
      <c r="D1266">
        <f t="shared" si="117"/>
        <v>7023.9311524000004</v>
      </c>
      <c r="E1266">
        <f t="shared" si="118"/>
        <v>0</v>
      </c>
      <c r="F1266" s="2">
        <f t="shared" si="119"/>
        <v>0</v>
      </c>
      <c r="G1266" s="2">
        <f t="shared" si="115"/>
        <v>9.8189475182495798</v>
      </c>
      <c r="H1266" s="2">
        <f t="shared" si="116"/>
        <v>38.853288924373054</v>
      </c>
    </row>
    <row r="1267" spans="1:8" x14ac:dyDescent="0.3">
      <c r="A1267" s="1">
        <v>43817</v>
      </c>
      <c r="B1267">
        <v>7276.8027339999999</v>
      </c>
      <c r="C1267" s="2">
        <f t="shared" si="114"/>
        <v>9.5819011608707205E-2</v>
      </c>
      <c r="D1267">
        <f t="shared" si="117"/>
        <v>7025.3547852000002</v>
      </c>
      <c r="E1267">
        <f t="shared" si="118"/>
        <v>1</v>
      </c>
      <c r="F1267" s="2">
        <f t="shared" si="119"/>
        <v>0</v>
      </c>
      <c r="G1267" s="2">
        <f t="shared" si="115"/>
        <v>10.759789364486023</v>
      </c>
      <c r="H1267" s="2">
        <f t="shared" si="116"/>
        <v>38.853288924373054</v>
      </c>
    </row>
    <row r="1268" spans="1:8" x14ac:dyDescent="0.3">
      <c r="A1268" s="1">
        <v>43818</v>
      </c>
      <c r="B1268">
        <v>7202.8442379999997</v>
      </c>
      <c r="C1268" s="2">
        <f t="shared" si="114"/>
        <v>-1.0163597764501375E-2</v>
      </c>
      <c r="D1268">
        <f t="shared" si="117"/>
        <v>7040.9888671999997</v>
      </c>
      <c r="E1268">
        <f t="shared" si="118"/>
        <v>1</v>
      </c>
      <c r="F1268" s="2">
        <f t="shared" si="119"/>
        <v>-1.0163597764501375E-2</v>
      </c>
      <c r="G1268" s="2">
        <f t="shared" si="115"/>
        <v>10.650431193354628</v>
      </c>
      <c r="H1268" s="2">
        <f t="shared" si="116"/>
        <v>38.458399723917772</v>
      </c>
    </row>
    <row r="1269" spans="1:8" x14ac:dyDescent="0.3">
      <c r="A1269" s="1">
        <v>43819</v>
      </c>
      <c r="B1269">
        <v>7218.8164059999999</v>
      </c>
      <c r="C1269" s="2">
        <f t="shared" si="114"/>
        <v>2.2174806884946996E-3</v>
      </c>
      <c r="D1269">
        <f t="shared" si="117"/>
        <v>7054.2917967999992</v>
      </c>
      <c r="E1269">
        <f t="shared" si="118"/>
        <v>1</v>
      </c>
      <c r="F1269" s="2">
        <f t="shared" si="119"/>
        <v>2.2174806884946996E-3</v>
      </c>
      <c r="G1269" s="2">
        <f t="shared" si="115"/>
        <v>10.674048318850033</v>
      </c>
      <c r="H1269" s="2">
        <f t="shared" si="116"/>
        <v>38.543680482615969</v>
      </c>
    </row>
    <row r="1270" spans="1:8" x14ac:dyDescent="0.3">
      <c r="A1270" s="1">
        <v>43820</v>
      </c>
      <c r="B1270">
        <v>7191.1586909999996</v>
      </c>
      <c r="C1270" s="2">
        <f t="shared" si="114"/>
        <v>-3.831336530045637E-3</v>
      </c>
      <c r="D1270">
        <f t="shared" si="117"/>
        <v>7106.0274411999981</v>
      </c>
      <c r="E1270">
        <f t="shared" si="118"/>
        <v>1</v>
      </c>
      <c r="F1270" s="2">
        <f t="shared" si="119"/>
        <v>-3.831336530045637E-3</v>
      </c>
      <c r="G1270" s="2">
        <f t="shared" si="115"/>
        <v>10.633152447602551</v>
      </c>
      <c r="H1270" s="2">
        <f t="shared" si="116"/>
        <v>38.396006671580516</v>
      </c>
    </row>
    <row r="1271" spans="1:8" x14ac:dyDescent="0.3">
      <c r="A1271" s="1">
        <v>43821</v>
      </c>
      <c r="B1271">
        <v>7511.5888670000004</v>
      </c>
      <c r="C1271" s="2">
        <f t="shared" si="114"/>
        <v>4.4558907648781343E-2</v>
      </c>
      <c r="D1271">
        <f t="shared" si="117"/>
        <v>7280.2421872000004</v>
      </c>
      <c r="E1271">
        <f t="shared" si="118"/>
        <v>1</v>
      </c>
      <c r="F1271" s="2">
        <f t="shared" si="119"/>
        <v>4.4558907648781343E-2</v>
      </c>
      <c r="G1271" s="2">
        <f t="shared" si="115"/>
        <v>11.106954105530686</v>
      </c>
      <c r="H1271" s="2">
        <f t="shared" si="116"/>
        <v>40.106890786941463</v>
      </c>
    </row>
    <row r="1272" spans="1:8" x14ac:dyDescent="0.3">
      <c r="A1272" s="1">
        <v>43822</v>
      </c>
      <c r="B1272">
        <v>7355.6284180000002</v>
      </c>
      <c r="C1272" s="2">
        <f t="shared" si="114"/>
        <v>-2.0762644463299562E-2</v>
      </c>
      <c r="D1272">
        <f t="shared" si="117"/>
        <v>7296.0073240000002</v>
      </c>
      <c r="E1272">
        <f t="shared" si="118"/>
        <v>1</v>
      </c>
      <c r="F1272" s="2">
        <f t="shared" si="119"/>
        <v>-2.0762644463299562E-2</v>
      </c>
      <c r="G1272" s="2">
        <f t="shared" si="115"/>
        <v>10.876344366367368</v>
      </c>
      <c r="H1272" s="2">
        <f t="shared" si="116"/>
        <v>39.274165673003814</v>
      </c>
    </row>
    <row r="1273" spans="1:8" x14ac:dyDescent="0.3">
      <c r="A1273" s="1">
        <v>43823</v>
      </c>
      <c r="B1273">
        <v>7322.5322269999997</v>
      </c>
      <c r="C1273" s="2">
        <f t="shared" si="114"/>
        <v>-4.4994375897252636E-3</v>
      </c>
      <c r="D1273">
        <f t="shared" si="117"/>
        <v>7319.9449217999991</v>
      </c>
      <c r="E1273">
        <f t="shared" si="118"/>
        <v>1</v>
      </c>
      <c r="F1273" s="2">
        <f t="shared" si="119"/>
        <v>-4.4994375897252636E-3</v>
      </c>
      <c r="G1273" s="2">
        <f t="shared" si="115"/>
        <v>10.827406933686538</v>
      </c>
      <c r="H1273" s="2">
        <f t="shared" si="116"/>
        <v>39.097454015669605</v>
      </c>
    </row>
    <row r="1274" spans="1:8" x14ac:dyDescent="0.3">
      <c r="A1274" s="1">
        <v>43824</v>
      </c>
      <c r="B1274">
        <v>7275.1557620000003</v>
      </c>
      <c r="C1274" s="2">
        <f t="shared" si="114"/>
        <v>-6.469956502930807E-3</v>
      </c>
      <c r="D1274">
        <f t="shared" si="117"/>
        <v>7331.2127930000006</v>
      </c>
      <c r="E1274">
        <f t="shared" si="118"/>
        <v>0</v>
      </c>
      <c r="F1274" s="2">
        <f t="shared" si="119"/>
        <v>-6.469956502930807E-3</v>
      </c>
      <c r="G1274" s="2">
        <f t="shared" si="115"/>
        <v>10.757354081786055</v>
      </c>
      <c r="H1274" s="2">
        <f t="shared" si="116"/>
        <v>38.844495188812886</v>
      </c>
    </row>
    <row r="1275" spans="1:8" x14ac:dyDescent="0.3">
      <c r="A1275" s="1">
        <v>43825</v>
      </c>
      <c r="B1275">
        <v>7238.966797</v>
      </c>
      <c r="C1275" s="2">
        <f t="shared" si="114"/>
        <v>-4.9743216755611108E-3</v>
      </c>
      <c r="D1275">
        <f t="shared" si="117"/>
        <v>7340.774414200001</v>
      </c>
      <c r="E1275">
        <f t="shared" si="118"/>
        <v>0</v>
      </c>
      <c r="F1275" s="2">
        <f t="shared" si="119"/>
        <v>0</v>
      </c>
      <c r="G1275" s="2">
        <f t="shared" si="115"/>
        <v>10.703843542205341</v>
      </c>
      <c r="H1275" s="2">
        <f t="shared" si="116"/>
        <v>38.844495188812886</v>
      </c>
    </row>
    <row r="1276" spans="1:8" x14ac:dyDescent="0.3">
      <c r="A1276" s="1">
        <v>43826</v>
      </c>
      <c r="B1276">
        <v>7290.0883789999998</v>
      </c>
      <c r="C1276" s="2">
        <f t="shared" si="114"/>
        <v>7.0619997899681319E-3</v>
      </c>
      <c r="D1276">
        <f t="shared" si="117"/>
        <v>7296.4743165999998</v>
      </c>
      <c r="E1276">
        <f t="shared" si="118"/>
        <v>0</v>
      </c>
      <c r="F1276" s="2">
        <f t="shared" si="119"/>
        <v>0</v>
      </c>
      <c r="G1276" s="2">
        <f t="shared" si="115"/>
        <v>10.779434083052246</v>
      </c>
      <c r="H1276" s="2">
        <f t="shared" si="116"/>
        <v>38.844495188812886</v>
      </c>
    </row>
    <row r="1277" spans="1:8" x14ac:dyDescent="0.3">
      <c r="A1277" s="1">
        <v>43827</v>
      </c>
      <c r="B1277">
        <v>7317.9902339999999</v>
      </c>
      <c r="C1277" s="2">
        <f t="shared" si="114"/>
        <v>3.8273685515768374E-3</v>
      </c>
      <c r="D1277">
        <f t="shared" si="117"/>
        <v>7288.9466797999994</v>
      </c>
      <c r="E1277">
        <f t="shared" si="118"/>
        <v>1</v>
      </c>
      <c r="F1277" s="2">
        <f t="shared" si="119"/>
        <v>0</v>
      </c>
      <c r="G1277" s="2">
        <f t="shared" si="115"/>
        <v>10.820690950065515</v>
      </c>
      <c r="H1277" s="2">
        <f t="shared" si="116"/>
        <v>38.844495188812886</v>
      </c>
    </row>
    <row r="1278" spans="1:8" x14ac:dyDescent="0.3">
      <c r="A1278" s="1">
        <v>43828</v>
      </c>
      <c r="B1278">
        <v>7422.6528319999998</v>
      </c>
      <c r="C1278" s="2">
        <f t="shared" si="114"/>
        <v>1.4302095883338195E-2</v>
      </c>
      <c r="D1278">
        <f t="shared" si="117"/>
        <v>7308.9708007999998</v>
      </c>
      <c r="E1278">
        <f t="shared" si="118"/>
        <v>1</v>
      </c>
      <c r="F1278" s="2">
        <f t="shared" si="119"/>
        <v>1.4302095883338195E-2</v>
      </c>
      <c r="G1278" s="2">
        <f t="shared" si="115"/>
        <v>10.975449509557322</v>
      </c>
      <c r="H1278" s="2">
        <f t="shared" si="116"/>
        <v>39.400052883543154</v>
      </c>
    </row>
    <row r="1279" spans="1:8" x14ac:dyDescent="0.3">
      <c r="A1279" s="1">
        <v>43829</v>
      </c>
      <c r="B1279">
        <v>7292.9951170000004</v>
      </c>
      <c r="C1279" s="2">
        <f t="shared" si="114"/>
        <v>-1.7467840398115997E-2</v>
      </c>
      <c r="D1279">
        <f t="shared" si="117"/>
        <v>7312.5386717999991</v>
      </c>
      <c r="E1279">
        <f t="shared" si="118"/>
        <v>0</v>
      </c>
      <c r="F1279" s="2">
        <f t="shared" si="119"/>
        <v>-1.7467840398115997E-2</v>
      </c>
      <c r="G1279" s="2">
        <f t="shared" si="115"/>
        <v>10.783732109226793</v>
      </c>
      <c r="H1279" s="2">
        <f t="shared" si="116"/>
        <v>38.711819048096089</v>
      </c>
    </row>
    <row r="1280" spans="1:8" x14ac:dyDescent="0.3">
      <c r="A1280" s="1">
        <v>43830</v>
      </c>
      <c r="B1280">
        <v>7193.5991210000002</v>
      </c>
      <c r="C1280" s="2">
        <f t="shared" si="114"/>
        <v>-1.3628967852769791E-2</v>
      </c>
      <c r="D1280">
        <f t="shared" si="117"/>
        <v>7303.4651365999989</v>
      </c>
      <c r="E1280">
        <f t="shared" si="118"/>
        <v>0</v>
      </c>
      <c r="F1280" s="2">
        <f t="shared" si="119"/>
        <v>0</v>
      </c>
      <c r="G1280" s="2">
        <f t="shared" si="115"/>
        <v>10.63676097097726</v>
      </c>
      <c r="H1280" s="2">
        <f t="shared" si="116"/>
        <v>38.711819048096089</v>
      </c>
    </row>
    <row r="1281" spans="1:8" x14ac:dyDescent="0.3">
      <c r="A1281" s="1">
        <v>43831</v>
      </c>
      <c r="B1281">
        <v>7200.1743159999996</v>
      </c>
      <c r="C1281" s="2">
        <f t="shared" si="114"/>
        <v>9.1403411413404356E-4</v>
      </c>
      <c r="D1281">
        <f t="shared" si="117"/>
        <v>7285.4823239999996</v>
      </c>
      <c r="E1281">
        <f t="shared" si="118"/>
        <v>0</v>
      </c>
      <c r="F1281" s="2">
        <f t="shared" si="119"/>
        <v>0</v>
      </c>
      <c r="G1281" s="2">
        <f t="shared" si="115"/>
        <v>10.646483333368623</v>
      </c>
      <c r="H1281" s="2">
        <f t="shared" si="116"/>
        <v>38.711819048096089</v>
      </c>
    </row>
    <row r="1282" spans="1:8" x14ac:dyDescent="0.3">
      <c r="A1282" s="1">
        <v>43832</v>
      </c>
      <c r="B1282">
        <v>6985.4702150000003</v>
      </c>
      <c r="C1282" s="2">
        <f t="shared" si="114"/>
        <v>-2.9819292086149973E-2</v>
      </c>
      <c r="D1282">
        <f t="shared" si="117"/>
        <v>7218.9783202000008</v>
      </c>
      <c r="E1282">
        <f t="shared" si="118"/>
        <v>0</v>
      </c>
      <c r="F1282" s="2">
        <f t="shared" si="119"/>
        <v>0</v>
      </c>
      <c r="G1282" s="2">
        <f t="shared" si="115"/>
        <v>10.329012737160577</v>
      </c>
      <c r="H1282" s="2">
        <f t="shared" si="116"/>
        <v>38.711819048096089</v>
      </c>
    </row>
    <row r="1283" spans="1:8" x14ac:dyDescent="0.3">
      <c r="A1283" s="1">
        <v>43833</v>
      </c>
      <c r="B1283">
        <v>7344.8842770000001</v>
      </c>
      <c r="C1283" s="2">
        <f t="shared" si="114"/>
        <v>5.1451663372384715E-2</v>
      </c>
      <c r="D1283">
        <f t="shared" si="117"/>
        <v>7203.4246092000003</v>
      </c>
      <c r="E1283">
        <f t="shared" si="118"/>
        <v>1</v>
      </c>
      <c r="F1283" s="2">
        <f t="shared" si="119"/>
        <v>0</v>
      </c>
      <c r="G1283" s="2">
        <f t="shared" si="115"/>
        <v>10.860457623482036</v>
      </c>
      <c r="H1283" s="2">
        <f t="shared" si="116"/>
        <v>38.711819048096089</v>
      </c>
    </row>
    <row r="1284" spans="1:8" x14ac:dyDescent="0.3">
      <c r="A1284" s="1">
        <v>43834</v>
      </c>
      <c r="B1284">
        <v>7410.6567379999997</v>
      </c>
      <c r="C1284" s="2">
        <f t="shared" ref="C1284:C1347" si="120">B1284/B1283-1</f>
        <v>8.9548668868699721E-3</v>
      </c>
      <c r="D1284">
        <f t="shared" si="117"/>
        <v>7226.9569333999998</v>
      </c>
      <c r="E1284">
        <f t="shared" si="118"/>
        <v>1</v>
      </c>
      <c r="F1284" s="2">
        <f t="shared" si="119"/>
        <v>8.9548668868699721E-3</v>
      </c>
      <c r="G1284" s="2">
        <f t="shared" ref="G1284:G1347" si="121">(1+C1284)*G1283</f>
        <v>10.95771157583081</v>
      </c>
      <c r="H1284" s="2">
        <f t="shared" ref="H1284:H1347" si="122">(1+F1284)*H1283</f>
        <v>39.058478234620388</v>
      </c>
    </row>
    <row r="1285" spans="1:8" x14ac:dyDescent="0.3">
      <c r="A1285" s="1">
        <v>43835</v>
      </c>
      <c r="B1285">
        <v>7411.3173829999996</v>
      </c>
      <c r="C1285" s="2">
        <f t="shared" si="120"/>
        <v>8.914796938475078E-5</v>
      </c>
      <c r="D1285">
        <f t="shared" si="117"/>
        <v>7270.5005858000004</v>
      </c>
      <c r="E1285">
        <f t="shared" si="118"/>
        <v>1</v>
      </c>
      <c r="F1285" s="2">
        <f t="shared" si="119"/>
        <v>8.914796938475078E-5</v>
      </c>
      <c r="G1285" s="2">
        <f t="shared" si="121"/>
        <v>10.9586884335669</v>
      </c>
      <c r="H1285" s="2">
        <f t="shared" si="122"/>
        <v>39.061960218642263</v>
      </c>
    </row>
    <row r="1286" spans="1:8" x14ac:dyDescent="0.3">
      <c r="A1286" s="1">
        <v>43836</v>
      </c>
      <c r="B1286">
        <v>7769.2192379999997</v>
      </c>
      <c r="C1286" s="2">
        <f t="shared" si="120"/>
        <v>4.8291260042506279E-2</v>
      </c>
      <c r="D1286">
        <f t="shared" si="117"/>
        <v>7384.3095701999991</v>
      </c>
      <c r="E1286">
        <f t="shared" si="118"/>
        <v>1</v>
      </c>
      <c r="F1286" s="2">
        <f t="shared" si="119"/>
        <v>4.8291260042506279E-2</v>
      </c>
      <c r="G1286" s="2">
        <f t="shared" si="121"/>
        <v>11.487897306437086</v>
      </c>
      <c r="H1286" s="2">
        <f t="shared" si="122"/>
        <v>40.948311497330749</v>
      </c>
    </row>
    <row r="1287" spans="1:8" x14ac:dyDescent="0.3">
      <c r="A1287" s="1">
        <v>43837</v>
      </c>
      <c r="B1287">
        <v>8163.6923829999996</v>
      </c>
      <c r="C1287" s="2">
        <f t="shared" si="120"/>
        <v>5.0773846498061603E-2</v>
      </c>
      <c r="D1287">
        <f t="shared" ref="D1287:D1350" si="123">AVERAGE(B1283:B1287)</f>
        <v>7619.9540037999996</v>
      </c>
      <c r="E1287">
        <f t="shared" ref="E1287:E1350" si="124">IF(B1287&gt;D1287,1,0)</f>
        <v>1</v>
      </c>
      <c r="F1287" s="2">
        <f t="shared" si="119"/>
        <v>5.0773846498061603E-2</v>
      </c>
      <c r="G1287" s="2">
        <f t="shared" si="121"/>
        <v>12.071182040859618</v>
      </c>
      <c r="H1287" s="2">
        <f t="shared" si="122"/>
        <v>43.027414779651032</v>
      </c>
    </row>
    <row r="1288" spans="1:8" x14ac:dyDescent="0.3">
      <c r="A1288" s="1">
        <v>43838</v>
      </c>
      <c r="B1288">
        <v>8079.8627930000002</v>
      </c>
      <c r="C1288" s="2">
        <f t="shared" si="120"/>
        <v>-1.0268587554152053E-2</v>
      </c>
      <c r="D1288">
        <f t="shared" si="123"/>
        <v>7766.9497069999998</v>
      </c>
      <c r="E1288">
        <f t="shared" si="124"/>
        <v>1</v>
      </c>
      <c r="F1288" s="2">
        <f t="shared" ref="F1288:F1351" si="125">E1287*C1288</f>
        <v>-1.0268587554152053E-2</v>
      </c>
      <c r="G1288" s="2">
        <f t="shared" si="121"/>
        <v>11.947228051190944</v>
      </c>
      <c r="H1288" s="2">
        <f t="shared" si="122"/>
        <v>42.585584003757369</v>
      </c>
    </row>
    <row r="1289" spans="1:8" x14ac:dyDescent="0.3">
      <c r="A1289" s="1">
        <v>43839</v>
      </c>
      <c r="B1289">
        <v>7879.0712890000004</v>
      </c>
      <c r="C1289" s="2">
        <f t="shared" si="120"/>
        <v>-2.4850855657345572E-2</v>
      </c>
      <c r="D1289">
        <f t="shared" si="123"/>
        <v>7860.6326171999999</v>
      </c>
      <c r="E1289">
        <f t="shared" si="124"/>
        <v>1</v>
      </c>
      <c r="F1289" s="2">
        <f t="shared" si="125"/>
        <v>-2.4850855657345572E-2</v>
      </c>
      <c r="G1289" s="2">
        <f t="shared" si="121"/>
        <v>11.650329211385408</v>
      </c>
      <c r="H1289" s="2">
        <f t="shared" si="122"/>
        <v>41.527295802596228</v>
      </c>
    </row>
    <row r="1290" spans="1:8" x14ac:dyDescent="0.3">
      <c r="A1290" s="1">
        <v>43840</v>
      </c>
      <c r="B1290">
        <v>8166.5541990000002</v>
      </c>
      <c r="C1290" s="2">
        <f t="shared" si="120"/>
        <v>3.648690301880575E-2</v>
      </c>
      <c r="D1290">
        <f t="shared" si="123"/>
        <v>8011.6799803999993</v>
      </c>
      <c r="E1290">
        <f t="shared" si="124"/>
        <v>1</v>
      </c>
      <c r="F1290" s="2">
        <f t="shared" si="125"/>
        <v>3.648690301880575E-2</v>
      </c>
      <c r="G1290" s="2">
        <f t="shared" si="121"/>
        <v>12.075413643458386</v>
      </c>
      <c r="H1290" s="2">
        <f t="shared" si="122"/>
        <v>43.042498217178817</v>
      </c>
    </row>
    <row r="1291" spans="1:8" x14ac:dyDescent="0.3">
      <c r="A1291" s="1">
        <v>43841</v>
      </c>
      <c r="B1291">
        <v>8037.5375979999999</v>
      </c>
      <c r="C1291" s="2">
        <f t="shared" si="120"/>
        <v>-1.5798168708143545E-2</v>
      </c>
      <c r="D1291">
        <f t="shared" si="123"/>
        <v>8065.3436524000008</v>
      </c>
      <c r="E1291">
        <f t="shared" si="124"/>
        <v>0</v>
      </c>
      <c r="F1291" s="2">
        <f t="shared" si="125"/>
        <v>-1.5798168708143545E-2</v>
      </c>
      <c r="G1291" s="2">
        <f t="shared" si="121"/>
        <v>11.884644221498412</v>
      </c>
      <c r="H1291" s="2">
        <f t="shared" si="122"/>
        <v>42.362505568723861</v>
      </c>
    </row>
    <row r="1292" spans="1:8" x14ac:dyDescent="0.3">
      <c r="A1292" s="1">
        <v>43842</v>
      </c>
      <c r="B1292">
        <v>8192.4941409999992</v>
      </c>
      <c r="C1292" s="2">
        <f t="shared" si="120"/>
        <v>1.9279106456504547E-2</v>
      </c>
      <c r="D1292">
        <f t="shared" si="123"/>
        <v>8071.1040039999989</v>
      </c>
      <c r="E1292">
        <f t="shared" si="124"/>
        <v>1</v>
      </c>
      <c r="F1292" s="2">
        <f t="shared" si="125"/>
        <v>0</v>
      </c>
      <c r="G1292" s="2">
        <f t="shared" si="121"/>
        <v>12.113769542642363</v>
      </c>
      <c r="H1292" s="2">
        <f t="shared" si="122"/>
        <v>42.362505568723861</v>
      </c>
    </row>
    <row r="1293" spans="1:8" x14ac:dyDescent="0.3">
      <c r="A1293" s="1">
        <v>43843</v>
      </c>
      <c r="B1293">
        <v>8144.1943359999996</v>
      </c>
      <c r="C1293" s="2">
        <f t="shared" si="120"/>
        <v>-5.8956166667583076E-3</v>
      </c>
      <c r="D1293">
        <f t="shared" si="123"/>
        <v>8083.9703125999995</v>
      </c>
      <c r="E1293">
        <f t="shared" si="124"/>
        <v>1</v>
      </c>
      <c r="F1293" s="2">
        <f t="shared" si="125"/>
        <v>-5.8956166667583076E-3</v>
      </c>
      <c r="G1293" s="2">
        <f t="shared" si="121"/>
        <v>12.042351401029491</v>
      </c>
      <c r="H1293" s="2">
        <f t="shared" si="122"/>
        <v>42.112752474847248</v>
      </c>
    </row>
    <row r="1294" spans="1:8" x14ac:dyDescent="0.3">
      <c r="A1294" s="1">
        <v>43844</v>
      </c>
      <c r="B1294">
        <v>8827.7646480000003</v>
      </c>
      <c r="C1294" s="2">
        <f t="shared" si="120"/>
        <v>8.3933448024244406E-2</v>
      </c>
      <c r="D1294">
        <f t="shared" si="123"/>
        <v>8273.7089844000002</v>
      </c>
      <c r="E1294">
        <f t="shared" si="124"/>
        <v>1</v>
      </c>
      <c r="F1294" s="2">
        <f t="shared" si="125"/>
        <v>8.3933448024244406E-2</v>
      </c>
      <c r="G1294" s="2">
        <f t="shared" si="121"/>
        <v>13.053107476437486</v>
      </c>
      <c r="H1294" s="2">
        <f t="shared" si="122"/>
        <v>45.647420995852713</v>
      </c>
    </row>
    <row r="1295" spans="1:8" x14ac:dyDescent="0.3">
      <c r="A1295" s="1">
        <v>43845</v>
      </c>
      <c r="B1295">
        <v>8807.0107420000004</v>
      </c>
      <c r="C1295" s="2">
        <f t="shared" si="120"/>
        <v>-2.3509808912612895E-3</v>
      </c>
      <c r="D1295">
        <f t="shared" si="123"/>
        <v>8401.8002929999984</v>
      </c>
      <c r="E1295">
        <f t="shared" si="124"/>
        <v>1</v>
      </c>
      <c r="F1295" s="2">
        <f t="shared" si="125"/>
        <v>-2.3509808912612895E-3</v>
      </c>
      <c r="G1295" s="2">
        <f t="shared" si="121"/>
        <v>13.022419870188802</v>
      </c>
      <c r="H1295" s="2">
        <f t="shared" si="122"/>
        <v>45.540104781356106</v>
      </c>
    </row>
    <row r="1296" spans="1:8" x14ac:dyDescent="0.3">
      <c r="A1296" s="1">
        <v>43846</v>
      </c>
      <c r="B1296">
        <v>8723.7861329999996</v>
      </c>
      <c r="C1296" s="2">
        <f t="shared" si="120"/>
        <v>-9.4498134995009142E-3</v>
      </c>
      <c r="D1296">
        <f t="shared" si="123"/>
        <v>8539.0499999999993</v>
      </c>
      <c r="E1296">
        <f t="shared" si="124"/>
        <v>1</v>
      </c>
      <c r="F1296" s="2">
        <f t="shared" si="125"/>
        <v>-9.4498134995009142E-3</v>
      </c>
      <c r="G1296" s="2">
        <f t="shared" si="121"/>
        <v>12.899360431103323</v>
      </c>
      <c r="H1296" s="2">
        <f t="shared" si="122"/>
        <v>45.109759284424563</v>
      </c>
    </row>
    <row r="1297" spans="1:8" x14ac:dyDescent="0.3">
      <c r="A1297" s="1">
        <v>43847</v>
      </c>
      <c r="B1297">
        <v>8929.0380860000005</v>
      </c>
      <c r="C1297" s="2">
        <f t="shared" si="120"/>
        <v>2.3527852456582066E-2</v>
      </c>
      <c r="D1297">
        <f t="shared" si="123"/>
        <v>8686.3587890000017</v>
      </c>
      <c r="E1297">
        <f t="shared" si="124"/>
        <v>1</v>
      </c>
      <c r="F1297" s="2">
        <f t="shared" si="125"/>
        <v>2.3527852456582066E-2</v>
      </c>
      <c r="G1297" s="2">
        <f t="shared" si="121"/>
        <v>13.202854680110596</v>
      </c>
      <c r="H1297" s="2">
        <f t="shared" si="122"/>
        <v>46.17109504522044</v>
      </c>
    </row>
    <row r="1298" spans="1:8" x14ac:dyDescent="0.3">
      <c r="A1298" s="1">
        <v>43848</v>
      </c>
      <c r="B1298">
        <v>8942.8085940000001</v>
      </c>
      <c r="C1298" s="2">
        <f t="shared" si="120"/>
        <v>1.5422162910907478E-3</v>
      </c>
      <c r="D1298">
        <f t="shared" si="123"/>
        <v>8846.0816406000013</v>
      </c>
      <c r="E1298">
        <f t="shared" si="124"/>
        <v>1</v>
      </c>
      <c r="F1298" s="2">
        <f t="shared" si="125"/>
        <v>1.5422162910907478E-3</v>
      </c>
      <c r="G1298" s="2">
        <f t="shared" si="121"/>
        <v>13.223216337687166</v>
      </c>
      <c r="H1298" s="2">
        <f t="shared" si="122"/>
        <v>46.242300860176677</v>
      </c>
    </row>
    <row r="1299" spans="1:8" x14ac:dyDescent="0.3">
      <c r="A1299" s="1">
        <v>43849</v>
      </c>
      <c r="B1299">
        <v>8706.2451170000004</v>
      </c>
      <c r="C1299" s="2">
        <f t="shared" si="120"/>
        <v>-2.6452928575337875E-2</v>
      </c>
      <c r="D1299">
        <f t="shared" si="123"/>
        <v>8821.7777344000006</v>
      </c>
      <c r="E1299">
        <f t="shared" si="124"/>
        <v>0</v>
      </c>
      <c r="F1299" s="2">
        <f t="shared" si="125"/>
        <v>-2.6452928575337875E-2</v>
      </c>
      <c r="G1299" s="2">
        <f t="shared" si="121"/>
        <v>12.873423540370087</v>
      </c>
      <c r="H1299" s="2">
        <f t="shared" si="122"/>
        <v>45.019056578363141</v>
      </c>
    </row>
    <row r="1300" spans="1:8" x14ac:dyDescent="0.3">
      <c r="A1300" s="1">
        <v>43850</v>
      </c>
      <c r="B1300">
        <v>8657.6425780000009</v>
      </c>
      <c r="C1300" s="2">
        <f t="shared" si="120"/>
        <v>-5.5824914583552099E-3</v>
      </c>
      <c r="D1300">
        <f t="shared" si="123"/>
        <v>8791.904101600001</v>
      </c>
      <c r="E1300">
        <f t="shared" si="124"/>
        <v>0</v>
      </c>
      <c r="F1300" s="2">
        <f t="shared" si="125"/>
        <v>0</v>
      </c>
      <c r="G1300" s="2">
        <f t="shared" si="121"/>
        <v>12.801557763416183</v>
      </c>
      <c r="H1300" s="2">
        <f t="shared" si="122"/>
        <v>45.019056578363141</v>
      </c>
    </row>
    <row r="1301" spans="1:8" x14ac:dyDescent="0.3">
      <c r="A1301" s="1">
        <v>43851</v>
      </c>
      <c r="B1301">
        <v>8745.8945309999999</v>
      </c>
      <c r="C1301" s="2">
        <f t="shared" si="120"/>
        <v>1.019353157685865E-2</v>
      </c>
      <c r="D1301">
        <f t="shared" si="123"/>
        <v>8796.3257811999993</v>
      </c>
      <c r="E1301">
        <f t="shared" si="124"/>
        <v>0</v>
      </c>
      <c r="F1301" s="2">
        <f t="shared" si="125"/>
        <v>0</v>
      </c>
      <c r="G1301" s="2">
        <f t="shared" si="121"/>
        <v>12.932050846710545</v>
      </c>
      <c r="H1301" s="2">
        <f t="shared" si="122"/>
        <v>45.019056578363141</v>
      </c>
    </row>
    <row r="1302" spans="1:8" x14ac:dyDescent="0.3">
      <c r="A1302" s="1">
        <v>43852</v>
      </c>
      <c r="B1302">
        <v>8680.8759769999997</v>
      </c>
      <c r="C1302" s="2">
        <f t="shared" si="120"/>
        <v>-7.4341799766211025E-3</v>
      </c>
      <c r="D1302">
        <f t="shared" si="123"/>
        <v>8746.6933594000002</v>
      </c>
      <c r="E1302">
        <f t="shared" si="124"/>
        <v>0</v>
      </c>
      <c r="F1302" s="2">
        <f t="shared" si="125"/>
        <v>0</v>
      </c>
      <c r="G1302" s="2">
        <f t="shared" si="121"/>
        <v>12.835911653249283</v>
      </c>
      <c r="H1302" s="2">
        <f t="shared" si="122"/>
        <v>45.019056578363141</v>
      </c>
    </row>
    <row r="1303" spans="1:8" x14ac:dyDescent="0.3">
      <c r="A1303" s="1">
        <v>43853</v>
      </c>
      <c r="B1303">
        <v>8406.515625</v>
      </c>
      <c r="C1303" s="2">
        <f t="shared" si="120"/>
        <v>-3.1605145923858102E-2</v>
      </c>
      <c r="D1303">
        <f t="shared" si="123"/>
        <v>8639.4347655999991</v>
      </c>
      <c r="E1303">
        <f t="shared" si="124"/>
        <v>0</v>
      </c>
      <c r="F1303" s="2">
        <f t="shared" si="125"/>
        <v>0</v>
      </c>
      <c r="G1303" s="2">
        <f t="shared" si="121"/>
        <v>12.43023079238259</v>
      </c>
      <c r="H1303" s="2">
        <f t="shared" si="122"/>
        <v>45.019056578363141</v>
      </c>
    </row>
    <row r="1304" spans="1:8" x14ac:dyDescent="0.3">
      <c r="A1304" s="1">
        <v>43854</v>
      </c>
      <c r="B1304">
        <v>8445.4345699999994</v>
      </c>
      <c r="C1304" s="2">
        <f t="shared" si="120"/>
        <v>4.6296166849746356E-3</v>
      </c>
      <c r="D1304">
        <f t="shared" si="123"/>
        <v>8587.2726561999989</v>
      </c>
      <c r="E1304">
        <f t="shared" si="124"/>
        <v>0</v>
      </c>
      <c r="F1304" s="2">
        <f t="shared" si="125"/>
        <v>0</v>
      </c>
      <c r="G1304" s="2">
        <f t="shared" si="121"/>
        <v>12.487777996257089</v>
      </c>
      <c r="H1304" s="2">
        <f t="shared" si="122"/>
        <v>45.019056578363141</v>
      </c>
    </row>
    <row r="1305" spans="1:8" x14ac:dyDescent="0.3">
      <c r="A1305" s="1">
        <v>43855</v>
      </c>
      <c r="B1305">
        <v>8367.8476559999999</v>
      </c>
      <c r="C1305" s="2">
        <f t="shared" si="120"/>
        <v>-9.1868468528079061E-3</v>
      </c>
      <c r="D1305">
        <f t="shared" si="123"/>
        <v>8529.3136717999987</v>
      </c>
      <c r="E1305">
        <f t="shared" si="124"/>
        <v>0</v>
      </c>
      <c r="F1305" s="2">
        <f t="shared" si="125"/>
        <v>0</v>
      </c>
      <c r="G1305" s="2">
        <f t="shared" si="121"/>
        <v>12.373054692273611</v>
      </c>
      <c r="H1305" s="2">
        <f t="shared" si="122"/>
        <v>45.019056578363141</v>
      </c>
    </row>
    <row r="1306" spans="1:8" x14ac:dyDescent="0.3">
      <c r="A1306" s="1">
        <v>43856</v>
      </c>
      <c r="B1306">
        <v>8596.8300780000009</v>
      </c>
      <c r="C1306" s="2">
        <f t="shared" si="120"/>
        <v>2.7364554352971915E-2</v>
      </c>
      <c r="D1306">
        <f t="shared" si="123"/>
        <v>8499.5007812000003</v>
      </c>
      <c r="E1306">
        <f t="shared" si="124"/>
        <v>1</v>
      </c>
      <c r="F1306" s="2">
        <f t="shared" si="125"/>
        <v>0</v>
      </c>
      <c r="G1306" s="2">
        <f t="shared" si="121"/>
        <v>12.711637819912626</v>
      </c>
      <c r="H1306" s="2">
        <f t="shared" si="122"/>
        <v>45.019056578363141</v>
      </c>
    </row>
    <row r="1307" spans="1:8" x14ac:dyDescent="0.3">
      <c r="A1307" s="1">
        <v>43857</v>
      </c>
      <c r="B1307">
        <v>8909.8193360000005</v>
      </c>
      <c r="C1307" s="2">
        <f t="shared" si="120"/>
        <v>3.6407519418228951E-2</v>
      </c>
      <c r="D1307">
        <f t="shared" si="123"/>
        <v>8545.2894529999994</v>
      </c>
      <c r="E1307">
        <f t="shared" si="124"/>
        <v>1</v>
      </c>
      <c r="F1307" s="2">
        <f t="shared" si="125"/>
        <v>3.6407519418228951E-2</v>
      </c>
      <c r="G1307" s="2">
        <f t="shared" si="121"/>
        <v>13.174437020678589</v>
      </c>
      <c r="H1307" s="2">
        <f t="shared" si="122"/>
        <v>46.658088754930247</v>
      </c>
    </row>
    <row r="1308" spans="1:8" x14ac:dyDescent="0.3">
      <c r="A1308" s="1">
        <v>43858</v>
      </c>
      <c r="B1308">
        <v>9358.5898440000001</v>
      </c>
      <c r="C1308" s="2">
        <f t="shared" si="120"/>
        <v>5.03680816721781E-2</v>
      </c>
      <c r="D1308">
        <f t="shared" si="123"/>
        <v>8735.7042968000005</v>
      </c>
      <c r="E1308">
        <f t="shared" si="124"/>
        <v>1</v>
      </c>
      <c r="F1308" s="2">
        <f t="shared" si="125"/>
        <v>5.03680816721781E-2</v>
      </c>
      <c r="G1308" s="2">
        <f t="shared" si="121"/>
        <v>13.838008140521096</v>
      </c>
      <c r="H1308" s="2">
        <f t="shared" si="122"/>
        <v>49.008167180006311</v>
      </c>
    </row>
    <row r="1309" spans="1:8" x14ac:dyDescent="0.3">
      <c r="A1309" s="1">
        <v>43859</v>
      </c>
      <c r="B1309">
        <v>9316.6298829999996</v>
      </c>
      <c r="C1309" s="2">
        <f t="shared" si="120"/>
        <v>-4.4835773016489444E-3</v>
      </c>
      <c r="D1309">
        <f t="shared" si="123"/>
        <v>8909.9433594000002</v>
      </c>
      <c r="E1309">
        <f t="shared" si="124"/>
        <v>1</v>
      </c>
      <c r="F1309" s="2">
        <f t="shared" si="125"/>
        <v>-4.4835773016489444E-3</v>
      </c>
      <c r="G1309" s="2">
        <f t="shared" si="121"/>
        <v>13.775964361322222</v>
      </c>
      <c r="H1309" s="2">
        <f t="shared" si="122"/>
        <v>48.788435274042619</v>
      </c>
    </row>
    <row r="1310" spans="1:8" x14ac:dyDescent="0.3">
      <c r="A1310" s="1">
        <v>43860</v>
      </c>
      <c r="B1310">
        <v>9508.9931639999995</v>
      </c>
      <c r="C1310" s="2">
        <f t="shared" si="120"/>
        <v>2.0647303093042746E-2</v>
      </c>
      <c r="D1310">
        <f t="shared" si="123"/>
        <v>9138.1724610000001</v>
      </c>
      <c r="E1310">
        <f t="shared" si="124"/>
        <v>1</v>
      </c>
      <c r="F1310" s="2">
        <f t="shared" si="125"/>
        <v>2.0647303093042746E-2</v>
      </c>
      <c r="G1310" s="2">
        <f t="shared" si="121"/>
        <v>14.060400872889398</v>
      </c>
      <c r="H1310" s="2">
        <f t="shared" si="122"/>
        <v>49.795784884581074</v>
      </c>
    </row>
    <row r="1311" spans="1:8" x14ac:dyDescent="0.3">
      <c r="A1311" s="1">
        <v>43861</v>
      </c>
      <c r="B1311">
        <v>9350.5292969999991</v>
      </c>
      <c r="C1311" s="2">
        <f t="shared" si="120"/>
        <v>-1.6664631498519489E-2</v>
      </c>
      <c r="D1311">
        <f t="shared" si="123"/>
        <v>9288.9123048000001</v>
      </c>
      <c r="E1311">
        <f t="shared" si="124"/>
        <v>1</v>
      </c>
      <c r="F1311" s="2">
        <f t="shared" si="125"/>
        <v>-1.6664631498519489E-2</v>
      </c>
      <c r="G1311" s="2">
        <f t="shared" si="121"/>
        <v>13.826089473621234</v>
      </c>
      <c r="H1311" s="2">
        <f t="shared" si="122"/>
        <v>48.965956479299983</v>
      </c>
    </row>
    <row r="1312" spans="1:8" x14ac:dyDescent="0.3">
      <c r="A1312" s="1">
        <v>43862</v>
      </c>
      <c r="B1312">
        <v>9392.875</v>
      </c>
      <c r="C1312" s="2">
        <f t="shared" si="120"/>
        <v>4.528695826190976E-3</v>
      </c>
      <c r="D1312">
        <f t="shared" si="123"/>
        <v>9385.5234375999989</v>
      </c>
      <c r="E1312">
        <f t="shared" si="124"/>
        <v>1</v>
      </c>
      <c r="F1312" s="2">
        <f t="shared" si="125"/>
        <v>4.528695826190976E-3</v>
      </c>
      <c r="G1312" s="2">
        <f t="shared" si="121"/>
        <v>13.888703627312966</v>
      </c>
      <c r="H1312" s="2">
        <f t="shared" si="122"/>
        <v>49.187708402033238</v>
      </c>
    </row>
    <row r="1313" spans="1:8" x14ac:dyDescent="0.3">
      <c r="A1313" s="1">
        <v>43863</v>
      </c>
      <c r="B1313">
        <v>9344.3652340000008</v>
      </c>
      <c r="C1313" s="2">
        <f t="shared" si="120"/>
        <v>-5.1645280066006105E-3</v>
      </c>
      <c r="D1313">
        <f t="shared" si="123"/>
        <v>9382.6785156000005</v>
      </c>
      <c r="E1313">
        <f t="shared" si="124"/>
        <v>0</v>
      </c>
      <c r="F1313" s="2">
        <f t="shared" si="125"/>
        <v>-5.1645280066006105E-3</v>
      </c>
      <c r="G1313" s="2">
        <f t="shared" si="121"/>
        <v>13.816975028454332</v>
      </c>
      <c r="H1313" s="2">
        <f t="shared" si="122"/>
        <v>48.933677104410435</v>
      </c>
    </row>
    <row r="1314" spans="1:8" x14ac:dyDescent="0.3">
      <c r="A1314" s="1">
        <v>43864</v>
      </c>
      <c r="B1314">
        <v>9293.5214840000008</v>
      </c>
      <c r="C1314" s="2">
        <f t="shared" si="120"/>
        <v>-5.441113304839762E-3</v>
      </c>
      <c r="D1314">
        <f t="shared" si="123"/>
        <v>9378.0568357999982</v>
      </c>
      <c r="E1314">
        <f t="shared" si="124"/>
        <v>0</v>
      </c>
      <c r="F1314" s="2">
        <f t="shared" si="125"/>
        <v>0</v>
      </c>
      <c r="G1314" s="2">
        <f t="shared" si="121"/>
        <v>13.741795301794371</v>
      </c>
      <c r="H1314" s="2">
        <f t="shared" si="122"/>
        <v>48.933677104410435</v>
      </c>
    </row>
    <row r="1315" spans="1:8" x14ac:dyDescent="0.3">
      <c r="A1315" s="1">
        <v>43865</v>
      </c>
      <c r="B1315">
        <v>9180.9628909999992</v>
      </c>
      <c r="C1315" s="2">
        <f t="shared" si="120"/>
        <v>-1.2111511572205025E-2</v>
      </c>
      <c r="D1315">
        <f t="shared" si="123"/>
        <v>9312.4507811999993</v>
      </c>
      <c r="E1315">
        <f t="shared" si="124"/>
        <v>0</v>
      </c>
      <c r="F1315" s="2">
        <f t="shared" si="125"/>
        <v>0</v>
      </c>
      <c r="G1315" s="2">
        <f t="shared" si="121"/>
        <v>13.575361388973816</v>
      </c>
      <c r="H1315" s="2">
        <f t="shared" si="122"/>
        <v>48.933677104410435</v>
      </c>
    </row>
    <row r="1316" spans="1:8" x14ac:dyDescent="0.3">
      <c r="A1316" s="1">
        <v>43866</v>
      </c>
      <c r="B1316">
        <v>9613.4238280000009</v>
      </c>
      <c r="C1316" s="2">
        <f t="shared" si="120"/>
        <v>4.7104093779089196E-2</v>
      </c>
      <c r="D1316">
        <f t="shared" si="123"/>
        <v>9365.0296873999996</v>
      </c>
      <c r="E1316">
        <f t="shared" si="124"/>
        <v>1</v>
      </c>
      <c r="F1316" s="2">
        <f t="shared" si="125"/>
        <v>0</v>
      </c>
      <c r="G1316" s="2">
        <f t="shared" si="121"/>
        <v>14.214816484925064</v>
      </c>
      <c r="H1316" s="2">
        <f t="shared" si="122"/>
        <v>48.933677104410435</v>
      </c>
    </row>
    <row r="1317" spans="1:8" x14ac:dyDescent="0.3">
      <c r="A1317" s="1">
        <v>43867</v>
      </c>
      <c r="B1317">
        <v>9729.8017579999996</v>
      </c>
      <c r="C1317" s="2">
        <f t="shared" si="120"/>
        <v>1.2105773352157456E-2</v>
      </c>
      <c r="D1317">
        <f t="shared" si="123"/>
        <v>9432.4150390000013</v>
      </c>
      <c r="E1317">
        <f t="shared" si="124"/>
        <v>1</v>
      </c>
      <c r="F1317" s="2">
        <f t="shared" si="125"/>
        <v>1.2105773352157456E-2</v>
      </c>
      <c r="G1317" s="2">
        <f t="shared" si="121"/>
        <v>14.386897831534078</v>
      </c>
      <c r="H1317" s="2">
        <f t="shared" si="122"/>
        <v>49.526057108724082</v>
      </c>
    </row>
    <row r="1318" spans="1:8" x14ac:dyDescent="0.3">
      <c r="A1318" s="1">
        <v>43868</v>
      </c>
      <c r="B1318">
        <v>9795.9433590000008</v>
      </c>
      <c r="C1318" s="2">
        <f t="shared" si="120"/>
        <v>6.7978364457033091E-3</v>
      </c>
      <c r="D1318">
        <f t="shared" si="123"/>
        <v>9522.7306639999988</v>
      </c>
      <c r="E1318">
        <f t="shared" si="124"/>
        <v>1</v>
      </c>
      <c r="F1318" s="2">
        <f t="shared" si="125"/>
        <v>6.7978364457033091E-3</v>
      </c>
      <c r="G1318" s="2">
        <f t="shared" si="121"/>
        <v>14.484697609953891</v>
      </c>
      <c r="H1318" s="2">
        <f t="shared" si="122"/>
        <v>49.862727144749748</v>
      </c>
    </row>
    <row r="1319" spans="1:8" x14ac:dyDescent="0.3">
      <c r="A1319" s="1">
        <v>43869</v>
      </c>
      <c r="B1319">
        <v>9865.1191409999992</v>
      </c>
      <c r="C1319" s="2">
        <f t="shared" si="120"/>
        <v>7.0616763965303253E-3</v>
      </c>
      <c r="D1319">
        <f t="shared" si="123"/>
        <v>9637.050195400001</v>
      </c>
      <c r="E1319">
        <f t="shared" si="124"/>
        <v>1</v>
      </c>
      <c r="F1319" s="2">
        <f t="shared" si="125"/>
        <v>7.0616763965303253E-3</v>
      </c>
      <c r="G1319" s="2">
        <f t="shared" si="121"/>
        <v>14.586983857176982</v>
      </c>
      <c r="H1319" s="2">
        <f t="shared" si="122"/>
        <v>50.214841588094458</v>
      </c>
    </row>
    <row r="1320" spans="1:8" x14ac:dyDescent="0.3">
      <c r="A1320" s="1">
        <v>43870</v>
      </c>
      <c r="B1320">
        <v>10116.673828000001</v>
      </c>
      <c r="C1320" s="2">
        <f t="shared" si="120"/>
        <v>2.5499406890538756E-2</v>
      </c>
      <c r="D1320">
        <f t="shared" si="123"/>
        <v>9824.1923827999999</v>
      </c>
      <c r="E1320">
        <f t="shared" si="124"/>
        <v>1</v>
      </c>
      <c r="F1320" s="2">
        <f t="shared" si="125"/>
        <v>2.5499406890538756E-2</v>
      </c>
      <c r="G1320" s="2">
        <f t="shared" si="121"/>
        <v>14.958943293856859</v>
      </c>
      <c r="H1320" s="2">
        <f t="shared" si="122"/>
        <v>51.495290265693228</v>
      </c>
    </row>
    <row r="1321" spans="1:8" x14ac:dyDescent="0.3">
      <c r="A1321" s="1">
        <v>43871</v>
      </c>
      <c r="B1321">
        <v>9856.6113280000009</v>
      </c>
      <c r="C1321" s="2">
        <f t="shared" si="120"/>
        <v>-2.5706324472004161E-2</v>
      </c>
      <c r="D1321">
        <f t="shared" si="123"/>
        <v>9872.8298828000006</v>
      </c>
      <c r="E1321">
        <f t="shared" si="124"/>
        <v>0</v>
      </c>
      <c r="F1321" s="2">
        <f t="shared" si="125"/>
        <v>-2.5706324472004161E-2</v>
      </c>
      <c r="G1321" s="2">
        <f t="shared" si="121"/>
        <v>14.574403843786664</v>
      </c>
      <c r="H1321" s="2">
        <f t="shared" si="122"/>
        <v>50.171535625343282</v>
      </c>
    </row>
    <row r="1322" spans="1:8" x14ac:dyDescent="0.3">
      <c r="A1322" s="1">
        <v>43872</v>
      </c>
      <c r="B1322">
        <v>10208.236328000001</v>
      </c>
      <c r="C1322" s="2">
        <f t="shared" si="120"/>
        <v>3.567402510852058E-2</v>
      </c>
      <c r="D1322">
        <f t="shared" si="123"/>
        <v>9968.5167967999987</v>
      </c>
      <c r="E1322">
        <f t="shared" si="124"/>
        <v>1</v>
      </c>
      <c r="F1322" s="2">
        <f t="shared" si="125"/>
        <v>0</v>
      </c>
      <c r="G1322" s="2">
        <f t="shared" si="121"/>
        <v>15.094331492451628</v>
      </c>
      <c r="H1322" s="2">
        <f t="shared" si="122"/>
        <v>50.171535625343282</v>
      </c>
    </row>
    <row r="1323" spans="1:8" x14ac:dyDescent="0.3">
      <c r="A1323" s="1">
        <v>43873</v>
      </c>
      <c r="B1323">
        <v>10326.054688</v>
      </c>
      <c r="C1323" s="2">
        <f t="shared" si="120"/>
        <v>1.1541500041181152E-2</v>
      </c>
      <c r="D1323">
        <f t="shared" si="123"/>
        <v>10074.539062600001</v>
      </c>
      <c r="E1323">
        <f t="shared" si="124"/>
        <v>1</v>
      </c>
      <c r="F1323" s="2">
        <f t="shared" si="125"/>
        <v>1.1541500041181152E-2</v>
      </c>
      <c r="G1323" s="2">
        <f t="shared" si="121"/>
        <v>15.268542719993361</v>
      </c>
      <c r="H1323" s="2">
        <f t="shared" si="122"/>
        <v>50.7505904058293</v>
      </c>
    </row>
    <row r="1324" spans="1:8" x14ac:dyDescent="0.3">
      <c r="A1324" s="1">
        <v>43874</v>
      </c>
      <c r="B1324">
        <v>10214.379883</v>
      </c>
      <c r="C1324" s="2">
        <f t="shared" si="120"/>
        <v>-1.0814857016957169E-2</v>
      </c>
      <c r="D1324">
        <f t="shared" si="123"/>
        <v>10144.391211</v>
      </c>
      <c r="E1324">
        <f t="shared" si="124"/>
        <v>1</v>
      </c>
      <c r="F1324" s="2">
        <f t="shared" si="125"/>
        <v>-1.0814857016957169E-2</v>
      </c>
      <c r="G1324" s="2">
        <f t="shared" si="121"/>
        <v>15.10341561361933</v>
      </c>
      <c r="H1324" s="2">
        <f t="shared" si="122"/>
        <v>50.201730027064094</v>
      </c>
    </row>
    <row r="1325" spans="1:8" x14ac:dyDescent="0.3">
      <c r="A1325" s="1">
        <v>43875</v>
      </c>
      <c r="B1325">
        <v>10312.116211</v>
      </c>
      <c r="C1325" s="2">
        <f t="shared" si="120"/>
        <v>9.5685033374042217E-3</v>
      </c>
      <c r="D1325">
        <f t="shared" si="123"/>
        <v>10183.4796876</v>
      </c>
      <c r="E1325">
        <f t="shared" si="124"/>
        <v>1</v>
      </c>
      <c r="F1325" s="2">
        <f t="shared" si="125"/>
        <v>9.5685033374042217E-3</v>
      </c>
      <c r="G1325" s="2">
        <f t="shared" si="121"/>
        <v>15.247932696324449</v>
      </c>
      <c r="H1325" s="2">
        <f t="shared" si="122"/>
        <v>50.682085448371524</v>
      </c>
    </row>
    <row r="1326" spans="1:8" x14ac:dyDescent="0.3">
      <c r="A1326" s="1">
        <v>43876</v>
      </c>
      <c r="B1326">
        <v>9889.4248050000006</v>
      </c>
      <c r="C1326" s="2">
        <f t="shared" si="120"/>
        <v>-4.0989783023305359E-2</v>
      </c>
      <c r="D1326">
        <f t="shared" si="123"/>
        <v>10190.042383000002</v>
      </c>
      <c r="E1326">
        <f t="shared" si="124"/>
        <v>0</v>
      </c>
      <c r="F1326" s="2">
        <f t="shared" si="125"/>
        <v>-4.0989783023305359E-2</v>
      </c>
      <c r="G1326" s="2">
        <f t="shared" si="121"/>
        <v>14.622923243548147</v>
      </c>
      <c r="H1326" s="2">
        <f t="shared" si="122"/>
        <v>48.604637762674152</v>
      </c>
    </row>
    <row r="1327" spans="1:8" x14ac:dyDescent="0.3">
      <c r="A1327" s="1">
        <v>43877</v>
      </c>
      <c r="B1327">
        <v>9934.4335940000001</v>
      </c>
      <c r="C1327" s="2">
        <f t="shared" si="120"/>
        <v>4.5512039261619286E-3</v>
      </c>
      <c r="D1327">
        <f t="shared" si="123"/>
        <v>10135.2818362</v>
      </c>
      <c r="E1327">
        <f t="shared" si="124"/>
        <v>0</v>
      </c>
      <c r="F1327" s="2">
        <f t="shared" si="125"/>
        <v>0</v>
      </c>
      <c r="G1327" s="2">
        <f t="shared" si="121"/>
        <v>14.689475149226148</v>
      </c>
      <c r="H1327" s="2">
        <f t="shared" si="122"/>
        <v>48.604637762674152</v>
      </c>
    </row>
    <row r="1328" spans="1:8" x14ac:dyDescent="0.3">
      <c r="A1328" s="1">
        <v>43878</v>
      </c>
      <c r="B1328">
        <v>9690.1425780000009</v>
      </c>
      <c r="C1328" s="2">
        <f t="shared" si="120"/>
        <v>-2.4590331566315071E-2</v>
      </c>
      <c r="D1328">
        <f t="shared" si="123"/>
        <v>10008.099414200002</v>
      </c>
      <c r="E1328">
        <f t="shared" si="124"/>
        <v>0</v>
      </c>
      <c r="F1328" s="2">
        <f t="shared" si="125"/>
        <v>0</v>
      </c>
      <c r="G1328" s="2">
        <f t="shared" si="121"/>
        <v>14.328256084771532</v>
      </c>
      <c r="H1328" s="2">
        <f t="shared" si="122"/>
        <v>48.604637762674152</v>
      </c>
    </row>
    <row r="1329" spans="1:8" x14ac:dyDescent="0.3">
      <c r="A1329" s="1">
        <v>43879</v>
      </c>
      <c r="B1329">
        <v>10141.996094</v>
      </c>
      <c r="C1329" s="2">
        <f t="shared" si="120"/>
        <v>4.6630223689986261E-2</v>
      </c>
      <c r="D1329">
        <f t="shared" si="123"/>
        <v>9993.6226564000008</v>
      </c>
      <c r="E1329">
        <f t="shared" si="124"/>
        <v>1</v>
      </c>
      <c r="F1329" s="2">
        <f t="shared" si="125"/>
        <v>0</v>
      </c>
      <c r="G1329" s="2">
        <f t="shared" si="121"/>
        <v>14.996385871091835</v>
      </c>
      <c r="H1329" s="2">
        <f t="shared" si="122"/>
        <v>48.604637762674152</v>
      </c>
    </row>
    <row r="1330" spans="1:8" x14ac:dyDescent="0.3">
      <c r="A1330" s="1">
        <v>43880</v>
      </c>
      <c r="B1330">
        <v>9633.3867190000001</v>
      </c>
      <c r="C1330" s="2">
        <f t="shared" si="120"/>
        <v>-5.014884351029214E-2</v>
      </c>
      <c r="D1330">
        <f t="shared" si="123"/>
        <v>9857.8767580000022</v>
      </c>
      <c r="E1330">
        <f t="shared" si="124"/>
        <v>0</v>
      </c>
      <c r="F1330" s="2">
        <f t="shared" si="125"/>
        <v>-5.014884351029214E-2</v>
      </c>
      <c r="G1330" s="2">
        <f t="shared" si="121"/>
        <v>14.244334462822495</v>
      </c>
      <c r="H1330" s="2">
        <f t="shared" si="122"/>
        <v>46.167171389639371</v>
      </c>
    </row>
    <row r="1331" spans="1:8" x14ac:dyDescent="0.3">
      <c r="A1331" s="1">
        <v>43881</v>
      </c>
      <c r="B1331">
        <v>9608.4755860000005</v>
      </c>
      <c r="C1331" s="2">
        <f t="shared" si="120"/>
        <v>-2.5859164307052707E-3</v>
      </c>
      <c r="D1331">
        <f t="shared" si="123"/>
        <v>9801.6869142000014</v>
      </c>
      <c r="E1331">
        <f t="shared" si="124"/>
        <v>0</v>
      </c>
      <c r="F1331" s="2">
        <f t="shared" si="125"/>
        <v>0</v>
      </c>
      <c r="G1331" s="2">
        <f t="shared" si="121"/>
        <v>14.207499804290622</v>
      </c>
      <c r="H1331" s="2">
        <f t="shared" si="122"/>
        <v>46.167171389639371</v>
      </c>
    </row>
    <row r="1332" spans="1:8" x14ac:dyDescent="0.3">
      <c r="A1332" s="1">
        <v>43882</v>
      </c>
      <c r="B1332">
        <v>9686.4414059999999</v>
      </c>
      <c r="C1332" s="2">
        <f t="shared" si="120"/>
        <v>8.11427570400447E-3</v>
      </c>
      <c r="D1332">
        <f t="shared" si="123"/>
        <v>9752.0884765999999</v>
      </c>
      <c r="E1332">
        <f t="shared" si="124"/>
        <v>0</v>
      </c>
      <c r="F1332" s="2">
        <f t="shared" si="125"/>
        <v>0</v>
      </c>
      <c r="G1332" s="2">
        <f t="shared" si="121"/>
        <v>14.322783374767226</v>
      </c>
      <c r="H1332" s="2">
        <f t="shared" si="122"/>
        <v>46.167171389639371</v>
      </c>
    </row>
    <row r="1333" spans="1:8" x14ac:dyDescent="0.3">
      <c r="A1333" s="1">
        <v>43883</v>
      </c>
      <c r="B1333">
        <v>9663.1816409999992</v>
      </c>
      <c r="C1333" s="2">
        <f t="shared" si="120"/>
        <v>-2.4012703969481519E-3</v>
      </c>
      <c r="D1333">
        <f t="shared" si="123"/>
        <v>9746.696289200001</v>
      </c>
      <c r="E1333">
        <f t="shared" si="124"/>
        <v>0</v>
      </c>
      <c r="F1333" s="2">
        <f t="shared" si="125"/>
        <v>0</v>
      </c>
      <c r="G1333" s="2">
        <f t="shared" si="121"/>
        <v>14.288390499047496</v>
      </c>
      <c r="H1333" s="2">
        <f t="shared" si="122"/>
        <v>46.167171389639371</v>
      </c>
    </row>
    <row r="1334" spans="1:8" x14ac:dyDescent="0.3">
      <c r="A1334" s="1">
        <v>43884</v>
      </c>
      <c r="B1334">
        <v>9924.515625</v>
      </c>
      <c r="C1334" s="2">
        <f t="shared" si="120"/>
        <v>2.7044300077231798E-2</v>
      </c>
      <c r="D1334">
        <f t="shared" si="123"/>
        <v>9703.2001954000007</v>
      </c>
      <c r="E1334">
        <f t="shared" si="124"/>
        <v>1</v>
      </c>
      <c r="F1334" s="2">
        <f t="shared" si="125"/>
        <v>0</v>
      </c>
      <c r="G1334" s="2">
        <f t="shared" si="121"/>
        <v>14.674810019324404</v>
      </c>
      <c r="H1334" s="2">
        <f t="shared" si="122"/>
        <v>46.167171389639371</v>
      </c>
    </row>
    <row r="1335" spans="1:8" x14ac:dyDescent="0.3">
      <c r="A1335" s="1">
        <v>43885</v>
      </c>
      <c r="B1335">
        <v>9650.1748050000006</v>
      </c>
      <c r="C1335" s="2">
        <f t="shared" si="120"/>
        <v>-2.7642741506591073E-2</v>
      </c>
      <c r="D1335">
        <f t="shared" si="123"/>
        <v>9706.5578126</v>
      </c>
      <c r="E1335">
        <f t="shared" si="124"/>
        <v>0</v>
      </c>
      <c r="F1335" s="2">
        <f t="shared" si="125"/>
        <v>-2.7642741506591073E-2</v>
      </c>
      <c r="G1335" s="2">
        <f t="shared" si="121"/>
        <v>14.269158039301887</v>
      </c>
      <c r="H1335" s="2">
        <f t="shared" si="122"/>
        <v>44.890984204825081</v>
      </c>
    </row>
    <row r="1336" spans="1:8" x14ac:dyDescent="0.3">
      <c r="A1336" s="1">
        <v>43886</v>
      </c>
      <c r="B1336">
        <v>9341.7050780000009</v>
      </c>
      <c r="C1336" s="2">
        <f t="shared" si="120"/>
        <v>-3.1965195784865341E-2</v>
      </c>
      <c r="D1336">
        <f t="shared" si="123"/>
        <v>9653.2037110000001</v>
      </c>
      <c r="E1336">
        <f t="shared" si="124"/>
        <v>0</v>
      </c>
      <c r="F1336" s="2">
        <f t="shared" si="125"/>
        <v>0</v>
      </c>
      <c r="G1336" s="2">
        <f t="shared" si="121"/>
        <v>13.813041608890417</v>
      </c>
      <c r="H1336" s="2">
        <f t="shared" si="122"/>
        <v>44.890984204825081</v>
      </c>
    </row>
    <row r="1337" spans="1:8" x14ac:dyDescent="0.3">
      <c r="A1337" s="1">
        <v>43887</v>
      </c>
      <c r="B1337">
        <v>8820.5224610000005</v>
      </c>
      <c r="C1337" s="2">
        <f t="shared" si="120"/>
        <v>-5.5790951721158666E-2</v>
      </c>
      <c r="D1337">
        <f t="shared" si="123"/>
        <v>9480.0199219999995</v>
      </c>
      <c r="E1337">
        <f t="shared" si="124"/>
        <v>0</v>
      </c>
      <c r="F1337" s="2">
        <f t="shared" si="125"/>
        <v>0</v>
      </c>
      <c r="G1337" s="2">
        <f t="shared" si="121"/>
        <v>13.042398871366457</v>
      </c>
      <c r="H1337" s="2">
        <f t="shared" si="122"/>
        <v>44.890984204825081</v>
      </c>
    </row>
    <row r="1338" spans="1:8" x14ac:dyDescent="0.3">
      <c r="A1338" s="1">
        <v>43888</v>
      </c>
      <c r="B1338">
        <v>8784.4941409999992</v>
      </c>
      <c r="C1338" s="2">
        <f t="shared" si="120"/>
        <v>-4.0846015821965898E-3</v>
      </c>
      <c r="D1338">
        <f t="shared" si="123"/>
        <v>9304.2824220000002</v>
      </c>
      <c r="E1338">
        <f t="shared" si="124"/>
        <v>0</v>
      </c>
      <c r="F1338" s="2">
        <f t="shared" si="125"/>
        <v>0</v>
      </c>
      <c r="G1338" s="2">
        <f t="shared" si="121"/>
        <v>12.989125868300833</v>
      </c>
      <c r="H1338" s="2">
        <f t="shared" si="122"/>
        <v>44.890984204825081</v>
      </c>
    </row>
    <row r="1339" spans="1:8" x14ac:dyDescent="0.3">
      <c r="A1339" s="1">
        <v>43889</v>
      </c>
      <c r="B1339">
        <v>8672.4550780000009</v>
      </c>
      <c r="C1339" s="2">
        <f t="shared" si="120"/>
        <v>-1.2754184953812753E-2</v>
      </c>
      <c r="D1339">
        <f t="shared" si="123"/>
        <v>9053.8703126</v>
      </c>
      <c r="E1339">
        <f t="shared" si="124"/>
        <v>0</v>
      </c>
      <c r="F1339" s="2">
        <f t="shared" si="125"/>
        <v>0</v>
      </c>
      <c r="G1339" s="2">
        <f t="shared" si="121"/>
        <v>12.823460154588171</v>
      </c>
      <c r="H1339" s="2">
        <f t="shared" si="122"/>
        <v>44.890984204825081</v>
      </c>
    </row>
    <row r="1340" spans="1:8" x14ac:dyDescent="0.3">
      <c r="A1340" s="1">
        <v>43890</v>
      </c>
      <c r="B1340">
        <v>8599.5087889999995</v>
      </c>
      <c r="C1340" s="2">
        <f t="shared" si="120"/>
        <v>-8.4112616720320998E-3</v>
      </c>
      <c r="D1340">
        <f t="shared" si="123"/>
        <v>8843.7371094000009</v>
      </c>
      <c r="E1340">
        <f t="shared" si="124"/>
        <v>0</v>
      </c>
      <c r="F1340" s="2">
        <f t="shared" si="125"/>
        <v>0</v>
      </c>
      <c r="G1340" s="2">
        <f t="shared" si="121"/>
        <v>12.715598675687053</v>
      </c>
      <c r="H1340" s="2">
        <f t="shared" si="122"/>
        <v>44.890984204825081</v>
      </c>
    </row>
    <row r="1341" spans="1:8" x14ac:dyDescent="0.3">
      <c r="A1341" s="1">
        <v>43891</v>
      </c>
      <c r="B1341">
        <v>8562.4541019999997</v>
      </c>
      <c r="C1341" s="2">
        <f t="shared" si="120"/>
        <v>-4.3089306504806579E-3</v>
      </c>
      <c r="D1341">
        <f t="shared" si="123"/>
        <v>8687.8869142000003</v>
      </c>
      <c r="E1341">
        <f t="shared" si="124"/>
        <v>0</v>
      </c>
      <c r="F1341" s="2">
        <f t="shared" si="125"/>
        <v>0</v>
      </c>
      <c r="G1341" s="2">
        <f t="shared" si="121"/>
        <v>12.660808042814173</v>
      </c>
      <c r="H1341" s="2">
        <f t="shared" si="122"/>
        <v>44.890984204825081</v>
      </c>
    </row>
    <row r="1342" spans="1:8" x14ac:dyDescent="0.3">
      <c r="A1342" s="1">
        <v>43892</v>
      </c>
      <c r="B1342">
        <v>8869.6699219999991</v>
      </c>
      <c r="C1342" s="2">
        <f t="shared" si="120"/>
        <v>3.5879412180234604E-2</v>
      </c>
      <c r="D1342">
        <f t="shared" si="123"/>
        <v>8697.7164064000008</v>
      </c>
      <c r="E1342">
        <f t="shared" si="124"/>
        <v>1</v>
      </c>
      <c r="F1342" s="2">
        <f t="shared" si="125"/>
        <v>0</v>
      </c>
      <c r="G1342" s="2">
        <f t="shared" si="121"/>
        <v>13.115070393117133</v>
      </c>
      <c r="H1342" s="2">
        <f t="shared" si="122"/>
        <v>44.890984204825081</v>
      </c>
    </row>
    <row r="1343" spans="1:8" x14ac:dyDescent="0.3">
      <c r="A1343" s="1">
        <v>43893</v>
      </c>
      <c r="B1343">
        <v>8787.7861329999996</v>
      </c>
      <c r="C1343" s="2">
        <f t="shared" si="120"/>
        <v>-9.2318868368368445E-3</v>
      </c>
      <c r="D1343">
        <f t="shared" si="123"/>
        <v>8698.3748047999998</v>
      </c>
      <c r="E1343">
        <f t="shared" si="124"/>
        <v>1</v>
      </c>
      <c r="F1343" s="2">
        <f t="shared" si="125"/>
        <v>-9.2318868368368445E-3</v>
      </c>
      <c r="G1343" s="2">
        <f t="shared" si="121"/>
        <v>12.993993547390726</v>
      </c>
      <c r="H1343" s="2">
        <f t="shared" si="122"/>
        <v>44.476555718651909</v>
      </c>
    </row>
    <row r="1344" spans="1:8" x14ac:dyDescent="0.3">
      <c r="A1344" s="1">
        <v>43894</v>
      </c>
      <c r="B1344">
        <v>8755.2460940000001</v>
      </c>
      <c r="C1344" s="2">
        <f t="shared" si="120"/>
        <v>-3.7028710653078667E-3</v>
      </c>
      <c r="D1344">
        <f t="shared" si="123"/>
        <v>8714.933008</v>
      </c>
      <c r="E1344">
        <f t="shared" si="124"/>
        <v>1</v>
      </c>
      <c r="F1344" s="2">
        <f t="shared" si="125"/>
        <v>-3.7028710653078667E-3</v>
      </c>
      <c r="G1344" s="2">
        <f t="shared" si="121"/>
        <v>12.945878464661297</v>
      </c>
      <c r="H1344" s="2">
        <f t="shared" si="122"/>
        <v>44.311864767396763</v>
      </c>
    </row>
    <row r="1345" spans="1:8" x14ac:dyDescent="0.3">
      <c r="A1345" s="1">
        <v>43895</v>
      </c>
      <c r="B1345">
        <v>9078.7626949999994</v>
      </c>
      <c r="C1345" s="2">
        <f t="shared" si="120"/>
        <v>3.6951171620601908E-2</v>
      </c>
      <c r="D1345">
        <f t="shared" si="123"/>
        <v>8810.7837891999989</v>
      </c>
      <c r="E1345">
        <f t="shared" si="124"/>
        <v>1</v>
      </c>
      <c r="F1345" s="2">
        <f t="shared" si="125"/>
        <v>3.6951171620601908E-2</v>
      </c>
      <c r="G1345" s="2">
        <f t="shared" si="121"/>
        <v>13.424243841588451</v>
      </c>
      <c r="H1345" s="2">
        <f t="shared" si="122"/>
        <v>45.949240087245741</v>
      </c>
    </row>
    <row r="1346" spans="1:8" x14ac:dyDescent="0.3">
      <c r="A1346" s="1">
        <v>43896</v>
      </c>
      <c r="B1346">
        <v>9122.5458980000003</v>
      </c>
      <c r="C1346" s="2">
        <f t="shared" si="120"/>
        <v>4.8225958173919725E-3</v>
      </c>
      <c r="D1346">
        <f t="shared" si="123"/>
        <v>8922.8021484000001</v>
      </c>
      <c r="E1346">
        <f t="shared" si="124"/>
        <v>1</v>
      </c>
      <c r="F1346" s="2">
        <f t="shared" si="125"/>
        <v>4.8225958173919725E-3</v>
      </c>
      <c r="G1346" s="2">
        <f t="shared" si="121"/>
        <v>13.488983543790546</v>
      </c>
      <c r="H1346" s="2">
        <f t="shared" si="122"/>
        <v>46.170834700302834</v>
      </c>
    </row>
    <row r="1347" spans="1:8" x14ac:dyDescent="0.3">
      <c r="A1347" s="1">
        <v>43897</v>
      </c>
      <c r="B1347">
        <v>8909.9541019999997</v>
      </c>
      <c r="C1347" s="2">
        <f t="shared" si="120"/>
        <v>-2.3303998508421686E-2</v>
      </c>
      <c r="D1347">
        <f t="shared" si="123"/>
        <v>8930.8589843999998</v>
      </c>
      <c r="E1347">
        <f t="shared" si="124"/>
        <v>0</v>
      </c>
      <c r="F1347" s="2">
        <f t="shared" si="125"/>
        <v>-2.3303998508421686E-2</v>
      </c>
      <c r="G1347" s="2">
        <f t="shared" si="121"/>
        <v>13.174636291405927</v>
      </c>
      <c r="H1347" s="2">
        <f t="shared" si="122"/>
        <v>45.094869637314389</v>
      </c>
    </row>
    <row r="1348" spans="1:8" x14ac:dyDescent="0.3">
      <c r="A1348" s="1">
        <v>43898</v>
      </c>
      <c r="B1348">
        <v>8108.1162109999996</v>
      </c>
      <c r="C1348" s="2">
        <f t="shared" ref="C1348:C1411" si="126">B1348/B1347-1</f>
        <v>-8.9993492875570791E-2</v>
      </c>
      <c r="D1348">
        <f t="shared" si="123"/>
        <v>8794.9249999999993</v>
      </c>
      <c r="E1348">
        <f t="shared" si="124"/>
        <v>0</v>
      </c>
      <c r="F1348" s="2">
        <f t="shared" si="125"/>
        <v>0</v>
      </c>
      <c r="G1348" s="2">
        <f t="shared" ref="G1348:G1411" si="127">(1+C1348)*G1347</f>
        <v>11.989004754177051</v>
      </c>
      <c r="H1348" s="2">
        <f t="shared" ref="H1348:H1411" si="128">(1+F1348)*H1347</f>
        <v>45.094869637314389</v>
      </c>
    </row>
    <row r="1349" spans="1:8" x14ac:dyDescent="0.3">
      <c r="A1349" s="1">
        <v>43899</v>
      </c>
      <c r="B1349">
        <v>7923.6445309999999</v>
      </c>
      <c r="C1349" s="2">
        <f t="shared" si="126"/>
        <v>-2.2751484463152338E-2</v>
      </c>
      <c r="D1349">
        <f t="shared" si="123"/>
        <v>8628.6046873999985</v>
      </c>
      <c r="E1349">
        <f t="shared" si="124"/>
        <v>0</v>
      </c>
      <c r="F1349" s="2">
        <f t="shared" si="125"/>
        <v>0</v>
      </c>
      <c r="G1349" s="2">
        <f t="shared" si="127"/>
        <v>11.716237098783733</v>
      </c>
      <c r="H1349" s="2">
        <f t="shared" si="128"/>
        <v>45.094869637314389</v>
      </c>
    </row>
    <row r="1350" spans="1:8" x14ac:dyDescent="0.3">
      <c r="A1350" s="1">
        <v>43900</v>
      </c>
      <c r="B1350">
        <v>7909.7294920000004</v>
      </c>
      <c r="C1350" s="2">
        <f t="shared" si="126"/>
        <v>-1.7561412485831429E-3</v>
      </c>
      <c r="D1350">
        <f t="shared" si="123"/>
        <v>8394.7980467999987</v>
      </c>
      <c r="E1350">
        <f t="shared" si="124"/>
        <v>0</v>
      </c>
      <c r="F1350" s="2">
        <f t="shared" si="125"/>
        <v>0</v>
      </c>
      <c r="G1350" s="2">
        <f t="shared" si="127"/>
        <v>11.695661731536379</v>
      </c>
      <c r="H1350" s="2">
        <f t="shared" si="128"/>
        <v>45.094869637314389</v>
      </c>
    </row>
    <row r="1351" spans="1:8" x14ac:dyDescent="0.3">
      <c r="A1351" s="1">
        <v>43901</v>
      </c>
      <c r="B1351">
        <v>7911.4301759999998</v>
      </c>
      <c r="C1351" s="2">
        <f t="shared" si="126"/>
        <v>2.1501165137438605E-4</v>
      </c>
      <c r="D1351">
        <f t="shared" ref="D1351:D1414" si="129">AVERAGE(B1347:B1351)</f>
        <v>8152.5749024000006</v>
      </c>
      <c r="E1351">
        <f t="shared" ref="E1351:E1414" si="130">IF(B1351&gt;D1351,1,0)</f>
        <v>0</v>
      </c>
      <c r="F1351" s="2">
        <f t="shared" si="125"/>
        <v>0</v>
      </c>
      <c r="G1351" s="2">
        <f t="shared" si="127"/>
        <v>11.698176435079192</v>
      </c>
      <c r="H1351" s="2">
        <f t="shared" si="128"/>
        <v>45.094869637314389</v>
      </c>
    </row>
    <row r="1352" spans="1:8" x14ac:dyDescent="0.3">
      <c r="A1352" s="1">
        <v>43902</v>
      </c>
      <c r="B1352">
        <v>4970.7880859999996</v>
      </c>
      <c r="C1352" s="2">
        <f t="shared" si="126"/>
        <v>-0.37169538561064341</v>
      </c>
      <c r="D1352">
        <f t="shared" si="129"/>
        <v>7364.7416991999999</v>
      </c>
      <c r="E1352">
        <f t="shared" si="130"/>
        <v>0</v>
      </c>
      <c r="F1352" s="2">
        <f t="shared" ref="F1352:F1415" si="131">E1351*C1352</f>
        <v>0</v>
      </c>
      <c r="G1352" s="2">
        <f t="shared" si="127"/>
        <v>7.35001823410109</v>
      </c>
      <c r="H1352" s="2">
        <f t="shared" si="128"/>
        <v>45.094869637314389</v>
      </c>
    </row>
    <row r="1353" spans="1:8" x14ac:dyDescent="0.3">
      <c r="A1353" s="1">
        <v>43903</v>
      </c>
      <c r="B1353">
        <v>5563.7070309999999</v>
      </c>
      <c r="C1353" s="2">
        <f t="shared" si="126"/>
        <v>0.11928067234850137</v>
      </c>
      <c r="D1353">
        <f t="shared" si="129"/>
        <v>6855.8598631999994</v>
      </c>
      <c r="E1353">
        <f t="shared" si="130"/>
        <v>0</v>
      </c>
      <c r="F1353" s="2">
        <f t="shared" si="131"/>
        <v>0</v>
      </c>
      <c r="G1353" s="2">
        <f t="shared" si="127"/>
        <v>8.226733350838412</v>
      </c>
      <c r="H1353" s="2">
        <f t="shared" si="128"/>
        <v>45.094869637314389</v>
      </c>
    </row>
    <row r="1354" spans="1:8" x14ac:dyDescent="0.3">
      <c r="A1354" s="1">
        <v>43904</v>
      </c>
      <c r="B1354">
        <v>5200.3662109999996</v>
      </c>
      <c r="C1354" s="2">
        <f t="shared" si="126"/>
        <v>-6.5305527047978762E-2</v>
      </c>
      <c r="D1354">
        <f t="shared" si="129"/>
        <v>6311.2041991999995</v>
      </c>
      <c r="E1354">
        <f t="shared" si="130"/>
        <v>0</v>
      </c>
      <c r="F1354" s="2">
        <f t="shared" si="131"/>
        <v>0</v>
      </c>
      <c r="G1354" s="2">
        <f t="shared" si="127"/>
        <v>7.6894821934787254</v>
      </c>
      <c r="H1354" s="2">
        <f t="shared" si="128"/>
        <v>45.094869637314389</v>
      </c>
    </row>
    <row r="1355" spans="1:8" x14ac:dyDescent="0.3">
      <c r="A1355" s="1">
        <v>43905</v>
      </c>
      <c r="B1355">
        <v>5392.3149409999996</v>
      </c>
      <c r="C1355" s="2">
        <f t="shared" si="126"/>
        <v>3.6910617870330675E-2</v>
      </c>
      <c r="D1355">
        <f t="shared" si="129"/>
        <v>5807.7212890000001</v>
      </c>
      <c r="E1355">
        <f t="shared" si="130"/>
        <v>0</v>
      </c>
      <c r="F1355" s="2">
        <f t="shared" si="131"/>
        <v>0</v>
      </c>
      <c r="G1355" s="2">
        <f t="shared" si="127"/>
        <v>7.9733057323429311</v>
      </c>
      <c r="H1355" s="2">
        <f t="shared" si="128"/>
        <v>45.094869637314389</v>
      </c>
    </row>
    <row r="1356" spans="1:8" x14ac:dyDescent="0.3">
      <c r="A1356" s="1">
        <v>43906</v>
      </c>
      <c r="B1356">
        <v>5014.4799800000001</v>
      </c>
      <c r="C1356" s="2">
        <f t="shared" si="126"/>
        <v>-7.0069156778504227E-2</v>
      </c>
      <c r="D1356">
        <f t="shared" si="129"/>
        <v>5228.3312497999996</v>
      </c>
      <c r="E1356">
        <f t="shared" si="130"/>
        <v>0</v>
      </c>
      <c r="F1356" s="2">
        <f t="shared" si="131"/>
        <v>0</v>
      </c>
      <c r="G1356" s="2">
        <f t="shared" si="127"/>
        <v>7.4146229229404481</v>
      </c>
      <c r="H1356" s="2">
        <f t="shared" si="128"/>
        <v>45.094869637314389</v>
      </c>
    </row>
    <row r="1357" spans="1:8" x14ac:dyDescent="0.3">
      <c r="A1357" s="1">
        <v>43907</v>
      </c>
      <c r="B1357">
        <v>5225.6293949999999</v>
      </c>
      <c r="C1357" s="2">
        <f t="shared" si="126"/>
        <v>4.2107938578308968E-2</v>
      </c>
      <c r="D1357">
        <f t="shared" si="129"/>
        <v>5279.2995116000002</v>
      </c>
      <c r="E1357">
        <f t="shared" si="130"/>
        <v>0</v>
      </c>
      <c r="F1357" s="2">
        <f t="shared" si="131"/>
        <v>0</v>
      </c>
      <c r="G1357" s="2">
        <f t="shared" si="127"/>
        <v>7.7268374095609458</v>
      </c>
      <c r="H1357" s="2">
        <f t="shared" si="128"/>
        <v>45.094869637314389</v>
      </c>
    </row>
    <row r="1358" spans="1:8" x14ac:dyDescent="0.3">
      <c r="A1358" s="1">
        <v>43908</v>
      </c>
      <c r="B1358">
        <v>5238.4384769999997</v>
      </c>
      <c r="C1358" s="2">
        <f t="shared" si="126"/>
        <v>2.4512036793606917E-3</v>
      </c>
      <c r="D1358">
        <f t="shared" si="129"/>
        <v>5214.2458007999994</v>
      </c>
      <c r="E1358">
        <f t="shared" si="130"/>
        <v>1</v>
      </c>
      <c r="F1358" s="2">
        <f t="shared" si="131"/>
        <v>0</v>
      </c>
      <c r="G1358" s="2">
        <f t="shared" si="127"/>
        <v>7.7457774618490838</v>
      </c>
      <c r="H1358" s="2">
        <f t="shared" si="128"/>
        <v>45.094869637314389</v>
      </c>
    </row>
    <row r="1359" spans="1:8" x14ac:dyDescent="0.3">
      <c r="A1359" s="1">
        <v>43909</v>
      </c>
      <c r="B1359">
        <v>6191.1928710000002</v>
      </c>
      <c r="C1359" s="2">
        <f t="shared" si="126"/>
        <v>0.18187755724977661</v>
      </c>
      <c r="D1359">
        <f t="shared" si="129"/>
        <v>5412.4111327999999</v>
      </c>
      <c r="E1359">
        <f t="shared" si="130"/>
        <v>1</v>
      </c>
      <c r="F1359" s="2">
        <f t="shared" si="131"/>
        <v>0.18187755724977661</v>
      </c>
      <c r="G1359" s="2">
        <f t="shared" si="127"/>
        <v>9.1545605456105701</v>
      </c>
      <c r="H1359" s="2">
        <f t="shared" si="128"/>
        <v>53.296614371446253</v>
      </c>
    </row>
    <row r="1360" spans="1:8" x14ac:dyDescent="0.3">
      <c r="A1360" s="1">
        <v>43910</v>
      </c>
      <c r="B1360">
        <v>6198.7783200000003</v>
      </c>
      <c r="C1360" s="2">
        <f t="shared" si="126"/>
        <v>1.2251999183439111E-3</v>
      </c>
      <c r="D1360">
        <f t="shared" si="129"/>
        <v>5573.7038086000002</v>
      </c>
      <c r="E1360">
        <f t="shared" si="130"/>
        <v>1</v>
      </c>
      <c r="F1360" s="2">
        <f t="shared" si="131"/>
        <v>1.2251999183439111E-3</v>
      </c>
      <c r="G1360" s="2">
        <f t="shared" si="127"/>
        <v>9.1657767124435274</v>
      </c>
      <c r="H1360" s="2">
        <f t="shared" si="128"/>
        <v>53.361913379022155</v>
      </c>
    </row>
    <row r="1361" spans="1:8" x14ac:dyDescent="0.3">
      <c r="A1361" s="1">
        <v>43911</v>
      </c>
      <c r="B1361">
        <v>6185.0664059999999</v>
      </c>
      <c r="C1361" s="2">
        <f t="shared" si="126"/>
        <v>-2.212034903032345E-3</v>
      </c>
      <c r="D1361">
        <f t="shared" si="129"/>
        <v>5807.8210938000002</v>
      </c>
      <c r="E1361">
        <f t="shared" si="130"/>
        <v>1</v>
      </c>
      <c r="F1361" s="2">
        <f t="shared" si="131"/>
        <v>-2.212034903032345E-3</v>
      </c>
      <c r="G1361" s="2">
        <f t="shared" si="127"/>
        <v>9.145501694442201</v>
      </c>
      <c r="H1361" s="2">
        <f t="shared" si="128"/>
        <v>53.243874964135166</v>
      </c>
    </row>
    <row r="1362" spans="1:8" x14ac:dyDescent="0.3">
      <c r="A1362" s="1">
        <v>43912</v>
      </c>
      <c r="B1362">
        <v>5830.2548829999996</v>
      </c>
      <c r="C1362" s="2">
        <f t="shared" si="126"/>
        <v>-5.7365838894761989E-2</v>
      </c>
      <c r="D1362">
        <f t="shared" si="129"/>
        <v>5928.7461913999996</v>
      </c>
      <c r="E1362">
        <f t="shared" si="130"/>
        <v>0</v>
      </c>
      <c r="F1362" s="2">
        <f t="shared" si="131"/>
        <v>-5.7365838894761989E-2</v>
      </c>
      <c r="G1362" s="2">
        <f t="shared" si="127"/>
        <v>8.620862317627056</v>
      </c>
      <c r="H1362" s="2">
        <f t="shared" si="128"/>
        <v>50.189495410809734</v>
      </c>
    </row>
    <row r="1363" spans="1:8" x14ac:dyDescent="0.3">
      <c r="A1363" s="1">
        <v>43913</v>
      </c>
      <c r="B1363">
        <v>6416.3149409999996</v>
      </c>
      <c r="C1363" s="2">
        <f t="shared" si="126"/>
        <v>0.10052048662723956</v>
      </c>
      <c r="D1363">
        <f t="shared" si="129"/>
        <v>6164.3214842000007</v>
      </c>
      <c r="E1363">
        <f t="shared" si="130"/>
        <v>1</v>
      </c>
      <c r="F1363" s="2">
        <f t="shared" si="131"/>
        <v>0</v>
      </c>
      <c r="G1363" s="2">
        <f t="shared" si="127"/>
        <v>9.4874355929413596</v>
      </c>
      <c r="H1363" s="2">
        <f t="shared" si="128"/>
        <v>50.189495410809734</v>
      </c>
    </row>
    <row r="1364" spans="1:8" x14ac:dyDescent="0.3">
      <c r="A1364" s="1">
        <v>43914</v>
      </c>
      <c r="B1364">
        <v>6734.8037109999996</v>
      </c>
      <c r="C1364" s="2">
        <f t="shared" si="126"/>
        <v>4.9637334346677608E-2</v>
      </c>
      <c r="D1364">
        <f t="shared" si="129"/>
        <v>6273.0436522</v>
      </c>
      <c r="E1364">
        <f t="shared" si="130"/>
        <v>1</v>
      </c>
      <c r="F1364" s="2">
        <f t="shared" si="131"/>
        <v>4.9637334346677608E-2</v>
      </c>
      <c r="G1364" s="2">
        <f t="shared" si="127"/>
        <v>9.9583666055607587</v>
      </c>
      <c r="H1364" s="2">
        <f t="shared" si="128"/>
        <v>52.680768175207135</v>
      </c>
    </row>
    <row r="1365" spans="1:8" x14ac:dyDescent="0.3">
      <c r="A1365" s="1">
        <v>43915</v>
      </c>
      <c r="B1365">
        <v>6681.0629879999997</v>
      </c>
      <c r="C1365" s="2">
        <f t="shared" si="126"/>
        <v>-7.9795529767593409E-3</v>
      </c>
      <c r="D1365">
        <f t="shared" si="129"/>
        <v>6369.5005858000004</v>
      </c>
      <c r="E1365">
        <f t="shared" si="130"/>
        <v>1</v>
      </c>
      <c r="F1365" s="2">
        <f t="shared" si="131"/>
        <v>-7.9795529767593409E-3</v>
      </c>
      <c r="G1365" s="2">
        <f t="shared" si="127"/>
        <v>9.8789032916696957</v>
      </c>
      <c r="H1365" s="2">
        <f t="shared" si="128"/>
        <v>52.260399194696689</v>
      </c>
    </row>
    <row r="1366" spans="1:8" x14ac:dyDescent="0.3">
      <c r="A1366" s="1">
        <v>43916</v>
      </c>
      <c r="B1366">
        <v>6716.4404299999997</v>
      </c>
      <c r="C1366" s="2">
        <f t="shared" si="126"/>
        <v>5.2951816295614407E-3</v>
      </c>
      <c r="D1366">
        <f t="shared" si="129"/>
        <v>6475.7753905999989</v>
      </c>
      <c r="E1366">
        <f t="shared" si="130"/>
        <v>1</v>
      </c>
      <c r="F1366" s="2">
        <f t="shared" si="131"/>
        <v>5.2951816295614407E-3</v>
      </c>
      <c r="G1366" s="2">
        <f t="shared" si="127"/>
        <v>9.9312138788999587</v>
      </c>
      <c r="H1366" s="2">
        <f t="shared" si="128"/>
        <v>52.537127500465992</v>
      </c>
    </row>
    <row r="1367" spans="1:8" x14ac:dyDescent="0.3">
      <c r="A1367" s="1">
        <v>43917</v>
      </c>
      <c r="B1367">
        <v>6469.7983400000003</v>
      </c>
      <c r="C1367" s="2">
        <f t="shared" si="126"/>
        <v>-3.6722143607249902E-2</v>
      </c>
      <c r="D1367">
        <f t="shared" si="129"/>
        <v>6603.6840819999998</v>
      </c>
      <c r="E1367">
        <f t="shared" si="130"/>
        <v>0</v>
      </c>
      <c r="F1367" s="2">
        <f t="shared" si="131"/>
        <v>-3.6722143607249902E-2</v>
      </c>
      <c r="G1367" s="2">
        <f t="shared" si="127"/>
        <v>9.5665184166446817</v>
      </c>
      <c r="H1367" s="2">
        <f t="shared" si="128"/>
        <v>50.607851559681485</v>
      </c>
    </row>
    <row r="1368" spans="1:8" x14ac:dyDescent="0.3">
      <c r="A1368" s="1">
        <v>43918</v>
      </c>
      <c r="B1368">
        <v>6242.1938479999999</v>
      </c>
      <c r="C1368" s="2">
        <f t="shared" si="126"/>
        <v>-3.5179534204770935E-2</v>
      </c>
      <c r="D1368">
        <f t="shared" si="129"/>
        <v>6568.8598633999991</v>
      </c>
      <c r="E1368">
        <f t="shared" si="130"/>
        <v>0</v>
      </c>
      <c r="F1368" s="2">
        <f t="shared" si="131"/>
        <v>0</v>
      </c>
      <c r="G1368" s="2">
        <f t="shared" si="127"/>
        <v>9.2299727547857593</v>
      </c>
      <c r="H1368" s="2">
        <f t="shared" si="128"/>
        <v>50.607851559681485</v>
      </c>
    </row>
    <row r="1369" spans="1:8" x14ac:dyDescent="0.3">
      <c r="A1369" s="1">
        <v>43919</v>
      </c>
      <c r="B1369">
        <v>5922.0429690000001</v>
      </c>
      <c r="C1369" s="2">
        <f t="shared" si="126"/>
        <v>-5.1288198796097362E-2</v>
      </c>
      <c r="D1369">
        <f t="shared" si="129"/>
        <v>6406.3077149999999</v>
      </c>
      <c r="E1369">
        <f t="shared" si="130"/>
        <v>0</v>
      </c>
      <c r="F1369" s="2">
        <f t="shared" si="131"/>
        <v>0</v>
      </c>
      <c r="G1369" s="2">
        <f t="shared" si="127"/>
        <v>8.7565840772557451</v>
      </c>
      <c r="H1369" s="2">
        <f t="shared" si="128"/>
        <v>50.607851559681485</v>
      </c>
    </row>
    <row r="1370" spans="1:8" x14ac:dyDescent="0.3">
      <c r="A1370" s="1">
        <v>43920</v>
      </c>
      <c r="B1370">
        <v>6429.841797</v>
      </c>
      <c r="C1370" s="2">
        <f t="shared" si="126"/>
        <v>8.5747238015354554E-2</v>
      </c>
      <c r="D1370">
        <f t="shared" si="129"/>
        <v>6356.0634768</v>
      </c>
      <c r="E1370">
        <f t="shared" si="130"/>
        <v>1</v>
      </c>
      <c r="F1370" s="2">
        <f t="shared" si="131"/>
        <v>0</v>
      </c>
      <c r="G1370" s="2">
        <f t="shared" si="127"/>
        <v>9.5074369763296573</v>
      </c>
      <c r="H1370" s="2">
        <f t="shared" si="128"/>
        <v>50.607851559681485</v>
      </c>
    </row>
    <row r="1371" spans="1:8" x14ac:dyDescent="0.3">
      <c r="A1371" s="1">
        <v>43921</v>
      </c>
      <c r="B1371">
        <v>6438.6445309999999</v>
      </c>
      <c r="C1371" s="2">
        <f t="shared" si="126"/>
        <v>1.3690436371400772E-3</v>
      </c>
      <c r="D1371">
        <f t="shared" si="129"/>
        <v>6300.5042969999995</v>
      </c>
      <c r="E1371">
        <f t="shared" si="130"/>
        <v>1</v>
      </c>
      <c r="F1371" s="2">
        <f t="shared" si="131"/>
        <v>1.3690436371400772E-3</v>
      </c>
      <c r="G1371" s="2">
        <f t="shared" si="127"/>
        <v>9.5204530724276122</v>
      </c>
      <c r="H1371" s="2">
        <f t="shared" si="128"/>
        <v>50.677135916848599</v>
      </c>
    </row>
    <row r="1372" spans="1:8" x14ac:dyDescent="0.3">
      <c r="A1372" s="1">
        <v>43922</v>
      </c>
      <c r="B1372">
        <v>6606.7763670000004</v>
      </c>
      <c r="C1372" s="2">
        <f t="shared" si="126"/>
        <v>2.6112924108560476E-2</v>
      </c>
      <c r="D1372">
        <f t="shared" si="129"/>
        <v>6327.8999024000004</v>
      </c>
      <c r="E1372">
        <f t="shared" si="130"/>
        <v>1</v>
      </c>
      <c r="F1372" s="2">
        <f t="shared" si="131"/>
        <v>2.6112924108560476E-2</v>
      </c>
      <c r="G1372" s="2">
        <f t="shared" si="127"/>
        <v>9.7690599409870256</v>
      </c>
      <c r="H1372" s="2">
        <f t="shared" si="128"/>
        <v>52.00046412108447</v>
      </c>
    </row>
    <row r="1373" spans="1:8" x14ac:dyDescent="0.3">
      <c r="A1373" s="1">
        <v>43923</v>
      </c>
      <c r="B1373">
        <v>6793.6245120000003</v>
      </c>
      <c r="C1373" s="2">
        <f t="shared" si="126"/>
        <v>2.8281287971738012E-2</v>
      </c>
      <c r="D1373">
        <f t="shared" si="129"/>
        <v>6438.1860352000003</v>
      </c>
      <c r="E1373">
        <f t="shared" si="130"/>
        <v>1</v>
      </c>
      <c r="F1373" s="2">
        <f t="shared" si="131"/>
        <v>2.8281287971738012E-2</v>
      </c>
      <c r="G1373" s="2">
        <f t="shared" si="127"/>
        <v>10.04534153839125</v>
      </c>
      <c r="H1373" s="2">
        <f t="shared" si="128"/>
        <v>53.471104221556892</v>
      </c>
    </row>
    <row r="1374" spans="1:8" x14ac:dyDescent="0.3">
      <c r="A1374" s="1">
        <v>43924</v>
      </c>
      <c r="B1374">
        <v>6733.3872069999998</v>
      </c>
      <c r="C1374" s="2">
        <f t="shared" si="126"/>
        <v>-8.8667404113370596E-3</v>
      </c>
      <c r="D1374">
        <f t="shared" si="129"/>
        <v>6600.4548827999997</v>
      </c>
      <c r="E1374">
        <f t="shared" si="130"/>
        <v>1</v>
      </c>
      <c r="F1374" s="2">
        <f t="shared" si="131"/>
        <v>-8.8667404113370596E-3</v>
      </c>
      <c r="G1374" s="2">
        <f t="shared" si="127"/>
        <v>9.9562721026271142</v>
      </c>
      <c r="H1374" s="2">
        <f t="shared" si="128"/>
        <v>52.996989820916795</v>
      </c>
    </row>
    <row r="1375" spans="1:8" x14ac:dyDescent="0.3">
      <c r="A1375" s="1">
        <v>43925</v>
      </c>
      <c r="B1375">
        <v>6867.5273440000001</v>
      </c>
      <c r="C1375" s="2">
        <f t="shared" si="126"/>
        <v>1.9921643130896838E-2</v>
      </c>
      <c r="D1375">
        <f t="shared" si="129"/>
        <v>6687.9919921999999</v>
      </c>
      <c r="E1375">
        <f t="shared" si="130"/>
        <v>1</v>
      </c>
      <c r="F1375" s="2">
        <f t="shared" si="131"/>
        <v>1.9921643130896838E-2</v>
      </c>
      <c r="G1375" s="2">
        <f t="shared" si="127"/>
        <v>10.154617402369755</v>
      </c>
      <c r="H1375" s="2">
        <f t="shared" si="128"/>
        <v>54.05277693914087</v>
      </c>
    </row>
    <row r="1376" spans="1:8" x14ac:dyDescent="0.3">
      <c r="A1376" s="1">
        <v>43926</v>
      </c>
      <c r="B1376">
        <v>6791.1293949999999</v>
      </c>
      <c r="C1376" s="2">
        <f t="shared" si="126"/>
        <v>-1.1124520540387373E-2</v>
      </c>
      <c r="D1376">
        <f t="shared" si="129"/>
        <v>6758.4889649999996</v>
      </c>
      <c r="E1376">
        <f t="shared" si="130"/>
        <v>1</v>
      </c>
      <c r="F1376" s="2">
        <f t="shared" si="131"/>
        <v>-1.1124520540387373E-2</v>
      </c>
      <c r="G1376" s="2">
        <f t="shared" si="127"/>
        <v>10.041652152497317</v>
      </c>
      <c r="H1376" s="2">
        <f t="shared" si="128"/>
        <v>53.451465711816418</v>
      </c>
    </row>
    <row r="1377" spans="1:8" x14ac:dyDescent="0.3">
      <c r="A1377" s="1">
        <v>43927</v>
      </c>
      <c r="B1377">
        <v>7271.78125</v>
      </c>
      <c r="C1377" s="2">
        <f t="shared" si="126"/>
        <v>7.0776424220967193E-2</v>
      </c>
      <c r="D1377">
        <f t="shared" si="129"/>
        <v>6891.4899415999998</v>
      </c>
      <c r="E1377">
        <f t="shared" si="130"/>
        <v>1</v>
      </c>
      <c r="F1377" s="2">
        <f t="shared" si="131"/>
        <v>7.0776424220967193E-2</v>
      </c>
      <c r="G1377" s="2">
        <f t="shared" si="127"/>
        <v>10.752364385121856</v>
      </c>
      <c r="H1377" s="2">
        <f t="shared" si="128"/>
        <v>57.234569324268421</v>
      </c>
    </row>
    <row r="1378" spans="1:8" x14ac:dyDescent="0.3">
      <c r="A1378" s="1">
        <v>43928</v>
      </c>
      <c r="B1378">
        <v>7176.4145509999998</v>
      </c>
      <c r="C1378" s="2">
        <f t="shared" si="126"/>
        <v>-1.3114627038595228E-2</v>
      </c>
      <c r="D1378">
        <f t="shared" si="129"/>
        <v>6968.0479494000001</v>
      </c>
      <c r="E1378">
        <f t="shared" si="130"/>
        <v>1</v>
      </c>
      <c r="F1378" s="2">
        <f t="shared" si="131"/>
        <v>-1.3114627038595228E-2</v>
      </c>
      <c r="G1378" s="2">
        <f t="shared" si="127"/>
        <v>10.611351136427908</v>
      </c>
      <c r="H1378" s="2">
        <f t="shared" si="128"/>
        <v>56.483959293866015</v>
      </c>
    </row>
    <row r="1379" spans="1:8" x14ac:dyDescent="0.3">
      <c r="A1379" s="1">
        <v>43929</v>
      </c>
      <c r="B1379">
        <v>7334.0986329999996</v>
      </c>
      <c r="C1379" s="2">
        <f t="shared" si="126"/>
        <v>2.1972543653853815E-2</v>
      </c>
      <c r="D1379">
        <f t="shared" si="129"/>
        <v>7088.1902346000006</v>
      </c>
      <c r="E1379">
        <f t="shared" si="130"/>
        <v>1</v>
      </c>
      <c r="F1379" s="2">
        <f t="shared" si="131"/>
        <v>2.1972543653853815E-2</v>
      </c>
      <c r="G1379" s="2">
        <f t="shared" si="127"/>
        <v>10.844509512499442</v>
      </c>
      <c r="H1379" s="2">
        <f t="shared" si="128"/>
        <v>57.725055555192988</v>
      </c>
    </row>
    <row r="1380" spans="1:8" x14ac:dyDescent="0.3">
      <c r="A1380" s="1">
        <v>43930</v>
      </c>
      <c r="B1380">
        <v>7302.0893550000001</v>
      </c>
      <c r="C1380" s="2">
        <f t="shared" si="126"/>
        <v>-4.364446076028039E-3</v>
      </c>
      <c r="D1380">
        <f t="shared" si="129"/>
        <v>7175.1026367999993</v>
      </c>
      <c r="E1380">
        <f t="shared" si="130"/>
        <v>1</v>
      </c>
      <c r="F1380" s="2">
        <f t="shared" si="131"/>
        <v>-4.364446076028039E-3</v>
      </c>
      <c r="G1380" s="2">
        <f t="shared" si="127"/>
        <v>10.797179235511166</v>
      </c>
      <c r="H1380" s="2">
        <f t="shared" si="128"/>
        <v>57.473117662986624</v>
      </c>
    </row>
    <row r="1381" spans="1:8" x14ac:dyDescent="0.3">
      <c r="A1381" s="1">
        <v>43931</v>
      </c>
      <c r="B1381">
        <v>6865.4931640000004</v>
      </c>
      <c r="C1381" s="2">
        <f t="shared" si="126"/>
        <v>-5.9790584553864212E-2</v>
      </c>
      <c r="D1381">
        <f t="shared" si="129"/>
        <v>7189.9753905999996</v>
      </c>
      <c r="E1381">
        <f t="shared" si="130"/>
        <v>0</v>
      </c>
      <c r="F1381" s="2">
        <f t="shared" si="131"/>
        <v>-5.9790584553864212E-2</v>
      </c>
      <c r="G1381" s="2">
        <f t="shared" si="127"/>
        <v>10.151609577487109</v>
      </c>
      <c r="H1381" s="2">
        <f t="shared" si="128"/>
        <v>54.036766361783634</v>
      </c>
    </row>
    <row r="1382" spans="1:8" x14ac:dyDescent="0.3">
      <c r="A1382" s="1">
        <v>43932</v>
      </c>
      <c r="B1382">
        <v>6859.0830079999996</v>
      </c>
      <c r="C1382" s="2">
        <f t="shared" si="126"/>
        <v>-9.336774280999105E-4</v>
      </c>
      <c r="D1382">
        <f t="shared" si="129"/>
        <v>7107.4357422000003</v>
      </c>
      <c r="E1382">
        <f t="shared" si="130"/>
        <v>0</v>
      </c>
      <c r="F1382" s="2">
        <f t="shared" si="131"/>
        <v>0</v>
      </c>
      <c r="G1382" s="2">
        <f t="shared" si="127"/>
        <v>10.142131248765727</v>
      </c>
      <c r="H1382" s="2">
        <f t="shared" si="128"/>
        <v>54.036766361783634</v>
      </c>
    </row>
    <row r="1383" spans="1:8" x14ac:dyDescent="0.3">
      <c r="A1383" s="1">
        <v>43933</v>
      </c>
      <c r="B1383">
        <v>6971.091797</v>
      </c>
      <c r="C1383" s="2">
        <f t="shared" si="126"/>
        <v>1.632999467557994E-2</v>
      </c>
      <c r="D1383">
        <f t="shared" si="129"/>
        <v>7066.3711913999996</v>
      </c>
      <c r="E1383">
        <f t="shared" si="130"/>
        <v>0</v>
      </c>
      <c r="F1383" s="2">
        <f t="shared" si="131"/>
        <v>0</v>
      </c>
      <c r="G1383" s="2">
        <f t="shared" si="127"/>
        <v>10.307752198057104</v>
      </c>
      <c r="H1383" s="2">
        <f t="shared" si="128"/>
        <v>54.036766361783634</v>
      </c>
    </row>
    <row r="1384" spans="1:8" x14ac:dyDescent="0.3">
      <c r="A1384" s="1">
        <v>43934</v>
      </c>
      <c r="B1384">
        <v>6845.0375979999999</v>
      </c>
      <c r="C1384" s="2">
        <f t="shared" si="126"/>
        <v>-1.8082418460512506E-2</v>
      </c>
      <c r="D1384">
        <f t="shared" si="129"/>
        <v>6968.5589844000006</v>
      </c>
      <c r="E1384">
        <f t="shared" si="130"/>
        <v>0</v>
      </c>
      <c r="F1384" s="2">
        <f t="shared" si="131"/>
        <v>0</v>
      </c>
      <c r="G1384" s="2">
        <f t="shared" si="127"/>
        <v>10.121363109424568</v>
      </c>
      <c r="H1384" s="2">
        <f t="shared" si="128"/>
        <v>54.036766361783634</v>
      </c>
    </row>
    <row r="1385" spans="1:8" x14ac:dyDescent="0.3">
      <c r="A1385" s="1">
        <v>43935</v>
      </c>
      <c r="B1385">
        <v>6842.4277339999999</v>
      </c>
      <c r="C1385" s="2">
        <f t="shared" si="126"/>
        <v>-3.8127825634770574E-4</v>
      </c>
      <c r="D1385">
        <f t="shared" si="129"/>
        <v>6876.6266602000005</v>
      </c>
      <c r="E1385">
        <f t="shared" si="130"/>
        <v>0</v>
      </c>
      <c r="F1385" s="2">
        <f t="shared" si="131"/>
        <v>0</v>
      </c>
      <c r="G1385" s="2">
        <f t="shared" si="127"/>
        <v>10.117504053746345</v>
      </c>
      <c r="H1385" s="2">
        <f t="shared" si="128"/>
        <v>54.036766361783634</v>
      </c>
    </row>
    <row r="1386" spans="1:8" x14ac:dyDescent="0.3">
      <c r="A1386" s="1">
        <v>43936</v>
      </c>
      <c r="B1386">
        <v>6642.1098629999997</v>
      </c>
      <c r="C1386" s="2">
        <f t="shared" si="126"/>
        <v>-2.9275847518947296E-2</v>
      </c>
      <c r="D1386">
        <f t="shared" si="129"/>
        <v>6831.95</v>
      </c>
      <c r="E1386">
        <f t="shared" si="130"/>
        <v>0</v>
      </c>
      <c r="F1386" s="2">
        <f t="shared" si="131"/>
        <v>0</v>
      </c>
      <c r="G1386" s="2">
        <f t="shared" si="127"/>
        <v>9.8213055477965359</v>
      </c>
      <c r="H1386" s="2">
        <f t="shared" si="128"/>
        <v>54.036766361783634</v>
      </c>
    </row>
    <row r="1387" spans="1:8" x14ac:dyDescent="0.3">
      <c r="A1387" s="1">
        <v>43937</v>
      </c>
      <c r="B1387">
        <v>7116.8041990000002</v>
      </c>
      <c r="C1387" s="2">
        <f t="shared" si="126"/>
        <v>7.1467402044084638E-2</v>
      </c>
      <c r="D1387">
        <f t="shared" si="129"/>
        <v>6883.494238199999</v>
      </c>
      <c r="E1387">
        <f t="shared" si="130"/>
        <v>1</v>
      </c>
      <c r="F1387" s="2">
        <f t="shared" si="131"/>
        <v>0</v>
      </c>
      <c r="G1387" s="2">
        <f t="shared" si="127"/>
        <v>10.52320873997871</v>
      </c>
      <c r="H1387" s="2">
        <f t="shared" si="128"/>
        <v>54.036766361783634</v>
      </c>
    </row>
    <row r="1388" spans="1:8" x14ac:dyDescent="0.3">
      <c r="A1388" s="1">
        <v>43938</v>
      </c>
      <c r="B1388">
        <v>7092.2901000000002</v>
      </c>
      <c r="C1388" s="2">
        <f t="shared" si="126"/>
        <v>-3.4445375079230622E-3</v>
      </c>
      <c r="D1388">
        <f t="shared" si="129"/>
        <v>6907.7338987999992</v>
      </c>
      <c r="E1388">
        <f t="shared" si="130"/>
        <v>1</v>
      </c>
      <c r="F1388" s="2">
        <f t="shared" si="131"/>
        <v>-3.4445375079230622E-3</v>
      </c>
      <c r="G1388" s="2">
        <f t="shared" si="127"/>
        <v>10.486961152770149</v>
      </c>
      <c r="H1388" s="2">
        <f t="shared" si="128"/>
        <v>53.850634693243592</v>
      </c>
    </row>
    <row r="1389" spans="1:8" x14ac:dyDescent="0.3">
      <c r="A1389" s="1">
        <v>43939</v>
      </c>
      <c r="B1389">
        <v>7257.6650390000004</v>
      </c>
      <c r="C1389" s="2">
        <f t="shared" si="126"/>
        <v>2.3317565506802973E-2</v>
      </c>
      <c r="D1389">
        <f t="shared" si="129"/>
        <v>6990.2593870000001</v>
      </c>
      <c r="E1389">
        <f t="shared" si="130"/>
        <v>1</v>
      </c>
      <c r="F1389" s="2">
        <f t="shared" si="131"/>
        <v>2.3317565506802973E-2</v>
      </c>
      <c r="G1389" s="2">
        <f t="shared" si="127"/>
        <v>10.731491556417165</v>
      </c>
      <c r="H1389" s="2">
        <f t="shared" si="128"/>
        <v>55.106300395286219</v>
      </c>
    </row>
    <row r="1390" spans="1:8" x14ac:dyDescent="0.3">
      <c r="A1390" s="1">
        <v>43940</v>
      </c>
      <c r="B1390">
        <v>7189.4248049999997</v>
      </c>
      <c r="C1390" s="2">
        <f t="shared" si="126"/>
        <v>-9.4025053007135151E-3</v>
      </c>
      <c r="D1390">
        <f t="shared" si="129"/>
        <v>7059.6588012000011</v>
      </c>
      <c r="E1390">
        <f t="shared" si="130"/>
        <v>1</v>
      </c>
      <c r="F1390" s="2">
        <f t="shared" si="131"/>
        <v>-9.4025053007135151E-3</v>
      </c>
      <c r="G1390" s="2">
        <f t="shared" si="127"/>
        <v>10.63058865017339</v>
      </c>
      <c r="H1390" s="2">
        <f t="shared" si="128"/>
        <v>54.588163113716831</v>
      </c>
    </row>
    <row r="1391" spans="1:8" x14ac:dyDescent="0.3">
      <c r="A1391" s="1">
        <v>43941</v>
      </c>
      <c r="B1391">
        <v>6881.9584960000002</v>
      </c>
      <c r="C1391" s="2">
        <f t="shared" si="126"/>
        <v>-4.2766468436552407E-2</v>
      </c>
      <c r="D1391">
        <f t="shared" si="129"/>
        <v>7107.6285277999996</v>
      </c>
      <c r="E1391">
        <f t="shared" si="130"/>
        <v>0</v>
      </c>
      <c r="F1391" s="2">
        <f t="shared" si="131"/>
        <v>-4.2766468436552407E-2</v>
      </c>
      <c r="G1391" s="2">
        <f t="shared" si="127"/>
        <v>10.175955916203778</v>
      </c>
      <c r="H1391" s="2">
        <f t="shared" si="128"/>
        <v>52.253620158904688</v>
      </c>
    </row>
    <row r="1392" spans="1:8" x14ac:dyDescent="0.3">
      <c r="A1392" s="1">
        <v>43942</v>
      </c>
      <c r="B1392">
        <v>6880.3232420000004</v>
      </c>
      <c r="C1392" s="2">
        <f t="shared" si="126"/>
        <v>-2.3761462684646073E-4</v>
      </c>
      <c r="D1392">
        <f t="shared" si="129"/>
        <v>7060.3323363999998</v>
      </c>
      <c r="E1392">
        <f t="shared" si="130"/>
        <v>0</v>
      </c>
      <c r="F1392" s="2">
        <f t="shared" si="131"/>
        <v>0</v>
      </c>
      <c r="G1392" s="2">
        <f t="shared" si="127"/>
        <v>10.173537960235944</v>
      </c>
      <c r="H1392" s="2">
        <f t="shared" si="128"/>
        <v>52.253620158904688</v>
      </c>
    </row>
    <row r="1393" spans="1:8" x14ac:dyDescent="0.3">
      <c r="A1393" s="1">
        <v>43943</v>
      </c>
      <c r="B1393">
        <v>7117.2075199999999</v>
      </c>
      <c r="C1393" s="2">
        <f t="shared" si="126"/>
        <v>3.4429236776837957E-2</v>
      </c>
      <c r="D1393">
        <f t="shared" si="129"/>
        <v>7065.315820400001</v>
      </c>
      <c r="E1393">
        <f t="shared" si="130"/>
        <v>1</v>
      </c>
      <c r="F1393" s="2">
        <f t="shared" si="131"/>
        <v>0</v>
      </c>
      <c r="G1393" s="2">
        <f t="shared" si="127"/>
        <v>10.523805107527057</v>
      </c>
      <c r="H1393" s="2">
        <f t="shared" si="128"/>
        <v>52.253620158904688</v>
      </c>
    </row>
    <row r="1394" spans="1:8" x14ac:dyDescent="0.3">
      <c r="A1394" s="1">
        <v>43944</v>
      </c>
      <c r="B1394">
        <v>7429.7246089999999</v>
      </c>
      <c r="C1394" s="2">
        <f t="shared" si="126"/>
        <v>4.3910071207253543E-2</v>
      </c>
      <c r="D1394">
        <f t="shared" si="129"/>
        <v>7099.7277344000004</v>
      </c>
      <c r="E1394">
        <f t="shared" si="130"/>
        <v>1</v>
      </c>
      <c r="F1394" s="2">
        <f t="shared" si="131"/>
        <v>4.3910071207253543E-2</v>
      </c>
      <c r="G1394" s="2">
        <f t="shared" si="127"/>
        <v>10.985906139169828</v>
      </c>
      <c r="H1394" s="2">
        <f t="shared" si="128"/>
        <v>54.548080340918972</v>
      </c>
    </row>
    <row r="1395" spans="1:8" x14ac:dyDescent="0.3">
      <c r="A1395" s="1">
        <v>43945</v>
      </c>
      <c r="B1395">
        <v>7550.9008789999998</v>
      </c>
      <c r="C1395" s="2">
        <f t="shared" si="126"/>
        <v>1.6309658349006995E-2</v>
      </c>
      <c r="D1395">
        <f t="shared" si="129"/>
        <v>7172.0229491999999</v>
      </c>
      <c r="E1395">
        <f t="shared" si="130"/>
        <v>1</v>
      </c>
      <c r="F1395" s="2">
        <f t="shared" si="131"/>
        <v>1.6309658349006995E-2</v>
      </c>
      <c r="G1395" s="2">
        <f t="shared" si="127"/>
        <v>11.165082514953946</v>
      </c>
      <c r="H1395" s="2">
        <f t="shared" si="128"/>
        <v>55.437740894873542</v>
      </c>
    </row>
    <row r="1396" spans="1:8" x14ac:dyDescent="0.3">
      <c r="A1396" s="1">
        <v>43946</v>
      </c>
      <c r="B1396">
        <v>7569.9360349999997</v>
      </c>
      <c r="C1396" s="2">
        <f t="shared" si="126"/>
        <v>2.5209119156812676E-3</v>
      </c>
      <c r="D1396">
        <f t="shared" si="129"/>
        <v>7309.6184569999996</v>
      </c>
      <c r="E1396">
        <f t="shared" si="130"/>
        <v>1</v>
      </c>
      <c r="F1396" s="2">
        <f t="shared" si="131"/>
        <v>2.5209119156812676E-3</v>
      </c>
      <c r="G1396" s="2">
        <f t="shared" si="127"/>
        <v>11.193228704505458</v>
      </c>
      <c r="H1396" s="2">
        <f t="shared" si="128"/>
        <v>55.57749455647388</v>
      </c>
    </row>
    <row r="1397" spans="1:8" x14ac:dyDescent="0.3">
      <c r="A1397" s="1">
        <v>43947</v>
      </c>
      <c r="B1397">
        <v>7679.8671880000002</v>
      </c>
      <c r="C1397" s="2">
        <f t="shared" si="126"/>
        <v>1.4522071585774121E-2</v>
      </c>
      <c r="D1397">
        <f t="shared" si="129"/>
        <v>7469.5272461999994</v>
      </c>
      <c r="E1397">
        <f t="shared" si="130"/>
        <v>1</v>
      </c>
      <c r="F1397" s="2">
        <f t="shared" si="131"/>
        <v>1.4522071585774121E-2</v>
      </c>
      <c r="G1397" s="2">
        <f t="shared" si="127"/>
        <v>11.355777573028227</v>
      </c>
      <c r="H1397" s="2">
        <f t="shared" si="128"/>
        <v>56.384594910980965</v>
      </c>
    </row>
    <row r="1398" spans="1:8" x14ac:dyDescent="0.3">
      <c r="A1398" s="1">
        <v>43948</v>
      </c>
      <c r="B1398">
        <v>7795.6010740000002</v>
      </c>
      <c r="C1398" s="2">
        <f t="shared" si="126"/>
        <v>1.5069777011357255E-2</v>
      </c>
      <c r="D1398">
        <f t="shared" si="129"/>
        <v>7605.2059570000001</v>
      </c>
      <c r="E1398">
        <f t="shared" si="130"/>
        <v>1</v>
      </c>
      <c r="F1398" s="2">
        <f t="shared" si="131"/>
        <v>1.5069777011357255E-2</v>
      </c>
      <c r="G1398" s="2">
        <f t="shared" si="127"/>
        <v>11.526906608844335</v>
      </c>
      <c r="H1398" s="2">
        <f t="shared" si="128"/>
        <v>57.234298183165158</v>
      </c>
    </row>
    <row r="1399" spans="1:8" x14ac:dyDescent="0.3">
      <c r="A1399" s="1">
        <v>43949</v>
      </c>
      <c r="B1399">
        <v>7807.0585940000001</v>
      </c>
      <c r="C1399" s="2">
        <f t="shared" si="126"/>
        <v>1.4697417032041304E-3</v>
      </c>
      <c r="D1399">
        <f t="shared" si="129"/>
        <v>7680.6727540000011</v>
      </c>
      <c r="E1399">
        <f t="shared" si="130"/>
        <v>1</v>
      </c>
      <c r="F1399" s="2">
        <f t="shared" si="131"/>
        <v>1.4697417032041304E-3</v>
      </c>
      <c r="G1399" s="2">
        <f t="shared" si="127"/>
        <v>11.543848184196293</v>
      </c>
      <c r="H1399" s="2">
        <f t="shared" si="128"/>
        <v>57.318417818058577</v>
      </c>
    </row>
    <row r="1400" spans="1:8" x14ac:dyDescent="0.3">
      <c r="A1400" s="1">
        <v>43950</v>
      </c>
      <c r="B1400">
        <v>8801.0380860000005</v>
      </c>
      <c r="C1400" s="2">
        <f t="shared" si="126"/>
        <v>0.12731805199514046</v>
      </c>
      <c r="D1400">
        <f t="shared" si="129"/>
        <v>7930.7001954000007</v>
      </c>
      <c r="E1400">
        <f t="shared" si="130"/>
        <v>1</v>
      </c>
      <c r="F1400" s="2">
        <f t="shared" si="131"/>
        <v>0.12731805199514046</v>
      </c>
      <c r="G1400" s="2">
        <f t="shared" si="127"/>
        <v>13.013588447535804</v>
      </c>
      <c r="H1400" s="2">
        <f t="shared" si="128"/>
        <v>64.61608711809734</v>
      </c>
    </row>
    <row r="1401" spans="1:8" x14ac:dyDescent="0.3">
      <c r="A1401" s="1">
        <v>43951</v>
      </c>
      <c r="B1401">
        <v>8658.5537110000005</v>
      </c>
      <c r="C1401" s="2">
        <f t="shared" si="126"/>
        <v>-1.6189496467087561E-2</v>
      </c>
      <c r="D1401">
        <f t="shared" si="129"/>
        <v>8148.4237305999995</v>
      </c>
      <c r="E1401">
        <f t="shared" si="130"/>
        <v>1</v>
      </c>
      <c r="F1401" s="2">
        <f t="shared" si="131"/>
        <v>-1.6189496467087561E-2</v>
      </c>
      <c r="G1401" s="2">
        <f t="shared" si="127"/>
        <v>12.802905003340292</v>
      </c>
      <c r="H1401" s="2">
        <f t="shared" si="128"/>
        <v>63.569985203981879</v>
      </c>
    </row>
    <row r="1402" spans="1:8" x14ac:dyDescent="0.3">
      <c r="A1402" s="1">
        <v>43952</v>
      </c>
      <c r="B1402">
        <v>8864.7666019999997</v>
      </c>
      <c r="C1402" s="2">
        <f t="shared" si="126"/>
        <v>2.3816089601433443E-2</v>
      </c>
      <c r="D1402">
        <f t="shared" si="129"/>
        <v>8385.4036133999998</v>
      </c>
      <c r="E1402">
        <f t="shared" si="130"/>
        <v>1</v>
      </c>
      <c r="F1402" s="2">
        <f t="shared" si="131"/>
        <v>2.3816089601433443E-2</v>
      </c>
      <c r="G1402" s="2">
        <f t="shared" si="127"/>
        <v>13.107820136058486</v>
      </c>
      <c r="H1402" s="2">
        <f t="shared" si="128"/>
        <v>65.083973667561708</v>
      </c>
    </row>
    <row r="1403" spans="1:8" x14ac:dyDescent="0.3">
      <c r="A1403" s="1">
        <v>43953</v>
      </c>
      <c r="B1403">
        <v>8988.5966800000006</v>
      </c>
      <c r="C1403" s="2">
        <f t="shared" si="126"/>
        <v>1.3968791685058379E-2</v>
      </c>
      <c r="D1403">
        <f t="shared" si="129"/>
        <v>8624.0027346000024</v>
      </c>
      <c r="E1403">
        <f t="shared" si="130"/>
        <v>1</v>
      </c>
      <c r="F1403" s="2">
        <f t="shared" si="131"/>
        <v>1.3968791685058379E-2</v>
      </c>
      <c r="G1403" s="2">
        <f t="shared" si="127"/>
        <v>13.290920544984299</v>
      </c>
      <c r="H1403" s="2">
        <f t="shared" si="128"/>
        <v>65.993118137759708</v>
      </c>
    </row>
    <row r="1404" spans="1:8" x14ac:dyDescent="0.3">
      <c r="A1404" s="1">
        <v>43954</v>
      </c>
      <c r="B1404">
        <v>8897.46875</v>
      </c>
      <c r="C1404" s="2">
        <f t="shared" si="126"/>
        <v>-1.0138170978653882E-2</v>
      </c>
      <c r="D1404">
        <f t="shared" si="129"/>
        <v>8842.0847658000002</v>
      </c>
      <c r="E1404">
        <f t="shared" si="130"/>
        <v>1</v>
      </c>
      <c r="F1404" s="2">
        <f t="shared" si="131"/>
        <v>-1.0138170978653882E-2</v>
      </c>
      <c r="G1404" s="2">
        <f t="shared" si="127"/>
        <v>13.156174920035545</v>
      </c>
      <c r="H1404" s="2">
        <f t="shared" si="128"/>
        <v>65.324068622664598</v>
      </c>
    </row>
    <row r="1405" spans="1:8" x14ac:dyDescent="0.3">
      <c r="A1405" s="1">
        <v>43955</v>
      </c>
      <c r="B1405">
        <v>8912.6542969999991</v>
      </c>
      <c r="C1405" s="2">
        <f t="shared" si="126"/>
        <v>1.7067266462722497E-3</v>
      </c>
      <c r="D1405">
        <f t="shared" si="129"/>
        <v>8864.4080080000003</v>
      </c>
      <c r="E1405">
        <f t="shared" si="130"/>
        <v>1</v>
      </c>
      <c r="F1405" s="2">
        <f t="shared" si="131"/>
        <v>1.7067266462722497E-3</v>
      </c>
      <c r="G1405" s="2">
        <f t="shared" si="127"/>
        <v>13.178628914334588</v>
      </c>
      <c r="H1405" s="2">
        <f t="shared" si="128"/>
        <v>65.435558951225815</v>
      </c>
    </row>
    <row r="1406" spans="1:8" x14ac:dyDescent="0.3">
      <c r="A1406" s="1">
        <v>43956</v>
      </c>
      <c r="B1406">
        <v>9003.0703130000002</v>
      </c>
      <c r="C1406" s="2">
        <f t="shared" si="126"/>
        <v>1.0144678901147897E-2</v>
      </c>
      <c r="D1406">
        <f t="shared" si="129"/>
        <v>8933.3113283999992</v>
      </c>
      <c r="E1406">
        <f t="shared" si="130"/>
        <v>1</v>
      </c>
      <c r="F1406" s="2">
        <f t="shared" si="131"/>
        <v>1.0144678901147897E-2</v>
      </c>
      <c r="G1406" s="2">
        <f t="shared" si="127"/>
        <v>13.312321873027896</v>
      </c>
      <c r="H1406" s="2">
        <f t="shared" si="128"/>
        <v>66.099381685503133</v>
      </c>
    </row>
    <row r="1407" spans="1:8" x14ac:dyDescent="0.3">
      <c r="A1407" s="1">
        <v>43957</v>
      </c>
      <c r="B1407">
        <v>9268.7617190000001</v>
      </c>
      <c r="C1407" s="2">
        <f t="shared" si="126"/>
        <v>2.951119970887639E-2</v>
      </c>
      <c r="D1407">
        <f t="shared" si="129"/>
        <v>9014.1103518000018</v>
      </c>
      <c r="E1407">
        <f t="shared" si="130"/>
        <v>1</v>
      </c>
      <c r="F1407" s="2">
        <f t="shared" si="131"/>
        <v>2.951119970887639E-2</v>
      </c>
      <c r="G1407" s="2">
        <f t="shared" si="127"/>
        <v>13.705184462411665</v>
      </c>
      <c r="H1407" s="2">
        <f t="shared" si="128"/>
        <v>68.050053739057262</v>
      </c>
    </row>
    <row r="1408" spans="1:8" x14ac:dyDescent="0.3">
      <c r="A1408" s="1">
        <v>43958</v>
      </c>
      <c r="B1408">
        <v>9951.5185550000006</v>
      </c>
      <c r="C1408" s="2">
        <f t="shared" si="126"/>
        <v>7.366214136246696E-2</v>
      </c>
      <c r="D1408">
        <f t="shared" si="129"/>
        <v>9206.6947268000004</v>
      </c>
      <c r="E1408">
        <f t="shared" si="130"/>
        <v>1</v>
      </c>
      <c r="F1408" s="2">
        <f t="shared" si="131"/>
        <v>7.366214136246696E-2</v>
      </c>
      <c r="G1408" s="2">
        <f t="shared" si="127"/>
        <v>14.714737697680519</v>
      </c>
      <c r="H1408" s="2">
        <f t="shared" si="128"/>
        <v>73.062766417307174</v>
      </c>
    </row>
    <row r="1409" spans="1:8" x14ac:dyDescent="0.3">
      <c r="A1409" s="1">
        <v>43959</v>
      </c>
      <c r="B1409">
        <v>9842.6660159999992</v>
      </c>
      <c r="C1409" s="2">
        <f t="shared" si="126"/>
        <v>-1.0938284282785204E-2</v>
      </c>
      <c r="D1409">
        <f t="shared" si="129"/>
        <v>9395.7341799999995</v>
      </c>
      <c r="E1409">
        <f t="shared" si="130"/>
        <v>1</v>
      </c>
      <c r="F1409" s="2">
        <f t="shared" si="131"/>
        <v>-1.0938284282785204E-2</v>
      </c>
      <c r="G1409" s="2">
        <f t="shared" si="127"/>
        <v>14.553783713596673</v>
      </c>
      <c r="H1409" s="2">
        <f t="shared" si="128"/>
        <v>72.263585107747929</v>
      </c>
    </row>
    <row r="1410" spans="1:8" x14ac:dyDescent="0.3">
      <c r="A1410" s="1">
        <v>43960</v>
      </c>
      <c r="B1410">
        <v>9593.8964840000008</v>
      </c>
      <c r="C1410" s="2">
        <f t="shared" si="126"/>
        <v>-2.5274608687890554E-2</v>
      </c>
      <c r="D1410">
        <f t="shared" si="129"/>
        <v>9531.9826173999991</v>
      </c>
      <c r="E1410">
        <f t="shared" si="130"/>
        <v>1</v>
      </c>
      <c r="F1410" s="2">
        <f t="shared" si="131"/>
        <v>-2.5274608687890554E-2</v>
      </c>
      <c r="G1410" s="2">
        <f t="shared" si="127"/>
        <v>14.185942525307322</v>
      </c>
      <c r="H1410" s="2">
        <f t="shared" si="128"/>
        <v>70.437151271765529</v>
      </c>
    </row>
    <row r="1411" spans="1:8" x14ac:dyDescent="0.3">
      <c r="A1411" s="1">
        <v>43961</v>
      </c>
      <c r="B1411">
        <v>8756.4306639999995</v>
      </c>
      <c r="C1411" s="2">
        <f t="shared" si="126"/>
        <v>-8.7291521374726733E-2</v>
      </c>
      <c r="D1411">
        <f t="shared" si="129"/>
        <v>9482.6546876000011</v>
      </c>
      <c r="E1411">
        <f t="shared" si="130"/>
        <v>0</v>
      </c>
      <c r="F1411" s="2">
        <f t="shared" si="131"/>
        <v>-8.7291521374726733E-2</v>
      </c>
      <c r="G1411" s="2">
        <f t="shared" si="127"/>
        <v>12.947630020138813</v>
      </c>
      <c r="H1411" s="2">
        <f t="shared" si="128"/>
        <v>64.288585175951354</v>
      </c>
    </row>
    <row r="1412" spans="1:8" x14ac:dyDescent="0.3">
      <c r="A1412" s="1">
        <v>43962</v>
      </c>
      <c r="B1412">
        <v>8601.7958980000003</v>
      </c>
      <c r="C1412" s="2">
        <f t="shared" ref="C1412:C1475" si="132">B1412/B1411-1</f>
        <v>-1.7659566087326328E-2</v>
      </c>
      <c r="D1412">
        <f t="shared" si="129"/>
        <v>9349.2615234000004</v>
      </c>
      <c r="E1412">
        <f t="shared" si="130"/>
        <v>0</v>
      </c>
      <c r="F1412" s="2">
        <f t="shared" si="131"/>
        <v>0</v>
      </c>
      <c r="G1412" s="2">
        <f t="shared" ref="G1412:G1475" si="133">(1+C1412)*G1411</f>
        <v>12.718980492123922</v>
      </c>
      <c r="H1412" s="2">
        <f t="shared" ref="H1412:H1475" si="134">(1+F1412)*H1411</f>
        <v>64.288585175951354</v>
      </c>
    </row>
    <row r="1413" spans="1:8" x14ac:dyDescent="0.3">
      <c r="A1413" s="1">
        <v>43963</v>
      </c>
      <c r="B1413">
        <v>8804.4775389999995</v>
      </c>
      <c r="C1413" s="2">
        <f t="shared" si="132"/>
        <v>2.3562712182827461E-2</v>
      </c>
      <c r="D1413">
        <f t="shared" si="129"/>
        <v>9119.8533201999999</v>
      </c>
      <c r="E1413">
        <f t="shared" si="130"/>
        <v>0</v>
      </c>
      <c r="F1413" s="2">
        <f t="shared" si="131"/>
        <v>0</v>
      </c>
      <c r="G1413" s="2">
        <f t="shared" si="133"/>
        <v>13.018674168718835</v>
      </c>
      <c r="H1413" s="2">
        <f t="shared" si="134"/>
        <v>64.288585175951354</v>
      </c>
    </row>
    <row r="1414" spans="1:8" x14ac:dyDescent="0.3">
      <c r="A1414" s="1">
        <v>43964</v>
      </c>
      <c r="B1414">
        <v>9269.9873050000006</v>
      </c>
      <c r="C1414" s="2">
        <f t="shared" si="132"/>
        <v>5.2871935210010435E-2</v>
      </c>
      <c r="D1414">
        <f t="shared" si="129"/>
        <v>9005.3175780000001</v>
      </c>
      <c r="E1414">
        <f t="shared" si="130"/>
        <v>1</v>
      </c>
      <c r="F1414" s="2">
        <f t="shared" si="131"/>
        <v>0</v>
      </c>
      <c r="G1414" s="2">
        <f t="shared" si="133"/>
        <v>13.706996665887575</v>
      </c>
      <c r="H1414" s="2">
        <f t="shared" si="134"/>
        <v>64.288585175951354</v>
      </c>
    </row>
    <row r="1415" spans="1:8" x14ac:dyDescent="0.3">
      <c r="A1415" s="1">
        <v>43965</v>
      </c>
      <c r="B1415">
        <v>9733.7216800000006</v>
      </c>
      <c r="C1415" s="2">
        <f t="shared" si="132"/>
        <v>5.0025351679810148E-2</v>
      </c>
      <c r="D1415">
        <f t="shared" ref="D1415:D1478" si="135">AVERAGE(B1411:B1415)</f>
        <v>9033.2826172000005</v>
      </c>
      <c r="E1415">
        <f t="shared" ref="E1415:E1478" si="136">IF(B1415&gt;D1415,1,0)</f>
        <v>1</v>
      </c>
      <c r="F1415" s="2">
        <f t="shared" si="131"/>
        <v>5.0025351679810148E-2</v>
      </c>
      <c r="G1415" s="2">
        <f t="shared" si="133"/>
        <v>14.392693994572586</v>
      </c>
      <c r="H1415" s="2">
        <f t="shared" si="134"/>
        <v>67.504644258375748</v>
      </c>
    </row>
    <row r="1416" spans="1:8" x14ac:dyDescent="0.3">
      <c r="A1416" s="1">
        <v>43966</v>
      </c>
      <c r="B1416">
        <v>9328.1972659999992</v>
      </c>
      <c r="C1416" s="2">
        <f t="shared" si="132"/>
        <v>-4.1661804942834668E-2</v>
      </c>
      <c r="D1416">
        <f t="shared" si="135"/>
        <v>9147.6359376</v>
      </c>
      <c r="E1416">
        <f t="shared" si="136"/>
        <v>1</v>
      </c>
      <c r="F1416" s="2">
        <f t="shared" ref="F1416:F1479" si="137">E1415*C1416</f>
        <v>-4.1661804942834668E-2</v>
      </c>
      <c r="G1416" s="2">
        <f t="shared" si="133"/>
        <v>13.793068384768794</v>
      </c>
      <c r="H1416" s="2">
        <f t="shared" si="134"/>
        <v>64.692278936547851</v>
      </c>
    </row>
    <row r="1417" spans="1:8" x14ac:dyDescent="0.3">
      <c r="A1417" s="1">
        <v>43967</v>
      </c>
      <c r="B1417">
        <v>9377.0136719999991</v>
      </c>
      <c r="C1417" s="2">
        <f t="shared" si="132"/>
        <v>5.233209012198925E-3</v>
      </c>
      <c r="D1417">
        <f t="shared" si="135"/>
        <v>9302.6794924000023</v>
      </c>
      <c r="E1417">
        <f t="shared" si="136"/>
        <v>1</v>
      </c>
      <c r="F1417" s="2">
        <f t="shared" si="137"/>
        <v>5.233209012198925E-3</v>
      </c>
      <c r="G1417" s="2">
        <f t="shared" si="133"/>
        <v>13.865250394545843</v>
      </c>
      <c r="H1417" s="2">
        <f t="shared" si="134"/>
        <v>65.030827153698283</v>
      </c>
    </row>
    <row r="1418" spans="1:8" x14ac:dyDescent="0.3">
      <c r="A1418" s="1">
        <v>43968</v>
      </c>
      <c r="B1418">
        <v>9670.7392579999996</v>
      </c>
      <c r="C1418" s="2">
        <f t="shared" si="132"/>
        <v>3.1324001038526061E-2</v>
      </c>
      <c r="D1418">
        <f t="shared" si="135"/>
        <v>9475.9318362000013</v>
      </c>
      <c r="E1418">
        <f t="shared" si="136"/>
        <v>1</v>
      </c>
      <c r="F1418" s="2">
        <f t="shared" si="137"/>
        <v>3.1324001038526061E-2</v>
      </c>
      <c r="G1418" s="2">
        <f t="shared" si="133"/>
        <v>14.299565512304021</v>
      </c>
      <c r="H1418" s="2">
        <f t="shared" si="134"/>
        <v>67.067852850996942</v>
      </c>
    </row>
    <row r="1419" spans="1:8" x14ac:dyDescent="0.3">
      <c r="A1419" s="1">
        <v>43969</v>
      </c>
      <c r="B1419">
        <v>9726.5751949999994</v>
      </c>
      <c r="C1419" s="2">
        <f t="shared" si="132"/>
        <v>5.7736989396968141E-3</v>
      </c>
      <c r="D1419">
        <f t="shared" si="135"/>
        <v>9567.2494141999996</v>
      </c>
      <c r="E1419">
        <f t="shared" si="136"/>
        <v>1</v>
      </c>
      <c r="F1419" s="2">
        <f t="shared" si="137"/>
        <v>5.7736989396968141E-3</v>
      </c>
      <c r="G1419" s="2">
        <f t="shared" si="133"/>
        <v>14.382126898540536</v>
      </c>
      <c r="H1419" s="2">
        <f t="shared" si="134"/>
        <v>67.455082441890482</v>
      </c>
    </row>
    <row r="1420" spans="1:8" x14ac:dyDescent="0.3">
      <c r="A1420" s="1">
        <v>43970</v>
      </c>
      <c r="B1420">
        <v>9729.0380860000005</v>
      </c>
      <c r="C1420" s="2">
        <f t="shared" si="132"/>
        <v>2.5321255946986199E-4</v>
      </c>
      <c r="D1420">
        <f t="shared" si="135"/>
        <v>9566.3126953999999</v>
      </c>
      <c r="E1420">
        <f t="shared" si="136"/>
        <v>1</v>
      </c>
      <c r="F1420" s="2">
        <f t="shared" si="137"/>
        <v>2.5321255946986199E-4</v>
      </c>
      <c r="G1420" s="2">
        <f t="shared" si="133"/>
        <v>14.385768633703135</v>
      </c>
      <c r="H1420" s="2">
        <f t="shared" si="134"/>
        <v>67.472162915964844</v>
      </c>
    </row>
    <row r="1421" spans="1:8" x14ac:dyDescent="0.3">
      <c r="A1421" s="1">
        <v>43971</v>
      </c>
      <c r="B1421">
        <v>9522.9814449999994</v>
      </c>
      <c r="C1421" s="2">
        <f t="shared" si="132"/>
        <v>-2.1179549219415117E-2</v>
      </c>
      <c r="D1421">
        <f t="shared" si="135"/>
        <v>9605.2695311999996</v>
      </c>
      <c r="E1421">
        <f t="shared" si="136"/>
        <v>0</v>
      </c>
      <c r="F1421" s="2">
        <f t="shared" si="137"/>
        <v>-2.1179549219415117E-2</v>
      </c>
      <c r="G1421" s="2">
        <f t="shared" si="133"/>
        <v>14.0810845388665</v>
      </c>
      <c r="H1421" s="2">
        <f t="shared" si="134"/>
        <v>66.043132920545773</v>
      </c>
    </row>
    <row r="1422" spans="1:8" x14ac:dyDescent="0.3">
      <c r="A1422" s="1">
        <v>43972</v>
      </c>
      <c r="B1422">
        <v>9081.7617190000001</v>
      </c>
      <c r="C1422" s="2">
        <f t="shared" si="132"/>
        <v>-4.6332099726148268E-2</v>
      </c>
      <c r="D1422">
        <f t="shared" si="135"/>
        <v>9546.2191406000002</v>
      </c>
      <c r="E1422">
        <f t="shared" si="136"/>
        <v>0</v>
      </c>
      <c r="F1422" s="2">
        <f t="shared" si="137"/>
        <v>0</v>
      </c>
      <c r="G1422" s="2">
        <f t="shared" si="133"/>
        <v>13.428678325759414</v>
      </c>
      <c r="H1422" s="2">
        <f t="shared" si="134"/>
        <v>66.043132920545773</v>
      </c>
    </row>
    <row r="1423" spans="1:8" x14ac:dyDescent="0.3">
      <c r="A1423" s="1">
        <v>43973</v>
      </c>
      <c r="B1423">
        <v>9182.5771480000003</v>
      </c>
      <c r="C1423" s="2">
        <f t="shared" si="132"/>
        <v>1.1100867003489334E-2</v>
      </c>
      <c r="D1423">
        <f t="shared" si="135"/>
        <v>9448.5867185999996</v>
      </c>
      <c r="E1423">
        <f t="shared" si="136"/>
        <v>0</v>
      </c>
      <c r="F1423" s="2">
        <f t="shared" si="137"/>
        <v>0</v>
      </c>
      <c r="G1423" s="2">
        <f t="shared" si="133"/>
        <v>13.577748297886309</v>
      </c>
      <c r="H1423" s="2">
        <f t="shared" si="134"/>
        <v>66.043132920545773</v>
      </c>
    </row>
    <row r="1424" spans="1:8" x14ac:dyDescent="0.3">
      <c r="A1424" s="1">
        <v>43974</v>
      </c>
      <c r="B1424">
        <v>9209.2871090000008</v>
      </c>
      <c r="C1424" s="2">
        <f t="shared" si="132"/>
        <v>2.9087652158541477E-3</v>
      </c>
      <c r="D1424">
        <f t="shared" si="135"/>
        <v>9345.129101399998</v>
      </c>
      <c r="E1424">
        <f t="shared" si="136"/>
        <v>0</v>
      </c>
      <c r="F1424" s="2">
        <f t="shared" si="137"/>
        <v>0</v>
      </c>
      <c r="G1424" s="2">
        <f t="shared" si="133"/>
        <v>13.617242779844824</v>
      </c>
      <c r="H1424" s="2">
        <f t="shared" si="134"/>
        <v>66.043132920545773</v>
      </c>
    </row>
    <row r="1425" spans="1:8" x14ac:dyDescent="0.3">
      <c r="A1425" s="1">
        <v>43975</v>
      </c>
      <c r="B1425">
        <v>8790.3681639999995</v>
      </c>
      <c r="C1425" s="2">
        <f t="shared" si="132"/>
        <v>-4.5488748482019004E-2</v>
      </c>
      <c r="D1425">
        <f t="shared" si="135"/>
        <v>9157.395117</v>
      </c>
      <c r="E1425">
        <f t="shared" si="136"/>
        <v>0</v>
      </c>
      <c r="F1425" s="2">
        <f t="shared" si="137"/>
        <v>0</v>
      </c>
      <c r="G1425" s="2">
        <f t="shared" si="133"/>
        <v>12.997811448013874</v>
      </c>
      <c r="H1425" s="2">
        <f t="shared" si="134"/>
        <v>66.043132920545773</v>
      </c>
    </row>
    <row r="1426" spans="1:8" x14ac:dyDescent="0.3">
      <c r="A1426" s="1">
        <v>43976</v>
      </c>
      <c r="B1426">
        <v>8906.9345699999994</v>
      </c>
      <c r="C1426" s="2">
        <f t="shared" si="132"/>
        <v>1.3260696688152995E-2</v>
      </c>
      <c r="D1426">
        <f t="shared" si="135"/>
        <v>9034.1857419999978</v>
      </c>
      <c r="E1426">
        <f t="shared" si="136"/>
        <v>0</v>
      </c>
      <c r="F1426" s="2">
        <f t="shared" si="137"/>
        <v>0</v>
      </c>
      <c r="G1426" s="2">
        <f t="shared" si="133"/>
        <v>13.170171483235789</v>
      </c>
      <c r="H1426" s="2">
        <f t="shared" si="134"/>
        <v>66.043132920545773</v>
      </c>
    </row>
    <row r="1427" spans="1:8" x14ac:dyDescent="0.3">
      <c r="A1427" s="1">
        <v>43977</v>
      </c>
      <c r="B1427">
        <v>8835.0527340000008</v>
      </c>
      <c r="C1427" s="2">
        <f t="shared" si="132"/>
        <v>-8.0703226721916543E-3</v>
      </c>
      <c r="D1427">
        <f t="shared" si="135"/>
        <v>8984.8439450000005</v>
      </c>
      <c r="E1427">
        <f t="shared" si="136"/>
        <v>0</v>
      </c>
      <c r="F1427" s="2">
        <f t="shared" si="137"/>
        <v>0</v>
      </c>
      <c r="G1427" s="2">
        <f t="shared" si="133"/>
        <v>13.06388394971798</v>
      </c>
      <c r="H1427" s="2">
        <f t="shared" si="134"/>
        <v>66.043132920545773</v>
      </c>
    </row>
    <row r="1428" spans="1:8" x14ac:dyDescent="0.3">
      <c r="A1428" s="1">
        <v>43978</v>
      </c>
      <c r="B1428">
        <v>9181.0175780000009</v>
      </c>
      <c r="C1428" s="2">
        <f t="shared" si="132"/>
        <v>3.9158209284775536E-2</v>
      </c>
      <c r="D1428">
        <f t="shared" si="135"/>
        <v>8984.5320310000006</v>
      </c>
      <c r="E1428">
        <f t="shared" si="136"/>
        <v>1</v>
      </c>
      <c r="F1428" s="2">
        <f t="shared" si="137"/>
        <v>0</v>
      </c>
      <c r="G1428" s="2">
        <f t="shared" si="133"/>
        <v>13.575442251493056</v>
      </c>
      <c r="H1428" s="2">
        <f t="shared" si="134"/>
        <v>66.043132920545773</v>
      </c>
    </row>
    <row r="1429" spans="1:8" x14ac:dyDescent="0.3">
      <c r="A1429" s="1">
        <v>43979</v>
      </c>
      <c r="B1429">
        <v>9525.7509769999997</v>
      </c>
      <c r="C1429" s="2">
        <f t="shared" si="132"/>
        <v>3.7548495694645689E-2</v>
      </c>
      <c r="D1429">
        <f t="shared" si="135"/>
        <v>9047.824804599999</v>
      </c>
      <c r="E1429">
        <f t="shared" si="136"/>
        <v>1</v>
      </c>
      <c r="F1429" s="2">
        <f t="shared" si="137"/>
        <v>3.7548495694645689E-2</v>
      </c>
      <c r="G1429" s="2">
        <f t="shared" si="133"/>
        <v>14.085179686426155</v>
      </c>
      <c r="H1429" s="2">
        <f t="shared" si="134"/>
        <v>68.522953212673798</v>
      </c>
    </row>
    <row r="1430" spans="1:8" x14ac:dyDescent="0.3">
      <c r="A1430" s="1">
        <v>43980</v>
      </c>
      <c r="B1430">
        <v>9439.1240230000003</v>
      </c>
      <c r="C1430" s="2">
        <f t="shared" si="132"/>
        <v>-9.0939763394152218E-3</v>
      </c>
      <c r="D1430">
        <f t="shared" si="135"/>
        <v>9177.5759763999995</v>
      </c>
      <c r="E1430">
        <f t="shared" si="136"/>
        <v>1</v>
      </c>
      <c r="F1430" s="2">
        <f t="shared" si="137"/>
        <v>-9.0939763394152218E-3</v>
      </c>
      <c r="G1430" s="2">
        <f t="shared" si="133"/>
        <v>13.957089395621384</v>
      </c>
      <c r="H1430" s="2">
        <f t="shared" si="134"/>
        <v>67.899807097450889</v>
      </c>
    </row>
    <row r="1431" spans="1:8" x14ac:dyDescent="0.3">
      <c r="A1431" s="1">
        <v>43981</v>
      </c>
      <c r="B1431">
        <v>9700.4140630000002</v>
      </c>
      <c r="C1431" s="2">
        <f t="shared" si="132"/>
        <v>2.7681598352063519E-2</v>
      </c>
      <c r="D1431">
        <f t="shared" si="135"/>
        <v>9336.2718750000004</v>
      </c>
      <c r="E1431">
        <f t="shared" si="136"/>
        <v>1</v>
      </c>
      <c r="F1431" s="2">
        <f t="shared" si="137"/>
        <v>2.7681598352063519E-2</v>
      </c>
      <c r="G1431" s="2">
        <f t="shared" si="133"/>
        <v>14.34344393843482</v>
      </c>
      <c r="H1431" s="2">
        <f t="shared" si="134"/>
        <v>69.779382285705111</v>
      </c>
    </row>
    <row r="1432" spans="1:8" x14ac:dyDescent="0.3">
      <c r="A1432" s="1">
        <v>43982</v>
      </c>
      <c r="B1432">
        <v>9461.0585940000001</v>
      </c>
      <c r="C1432" s="2">
        <f t="shared" si="132"/>
        <v>-2.4674768256848556E-2</v>
      </c>
      <c r="D1432">
        <f t="shared" si="135"/>
        <v>9461.4730470000013</v>
      </c>
      <c r="E1432">
        <f t="shared" si="136"/>
        <v>0</v>
      </c>
      <c r="F1432" s="2">
        <f t="shared" si="137"/>
        <v>-2.4674768256848556E-2</v>
      </c>
      <c r="G1432" s="2">
        <f t="shared" si="133"/>
        <v>13.989522783248843</v>
      </c>
      <c r="H1432" s="2">
        <f t="shared" si="134"/>
        <v>68.057592198699297</v>
      </c>
    </row>
    <row r="1433" spans="1:8" x14ac:dyDescent="0.3">
      <c r="A1433" s="1">
        <v>43983</v>
      </c>
      <c r="B1433">
        <v>10167.268555000001</v>
      </c>
      <c r="C1433" s="2">
        <f t="shared" si="132"/>
        <v>7.4643862944455686E-2</v>
      </c>
      <c r="D1433">
        <f t="shared" si="135"/>
        <v>9658.7232423999994</v>
      </c>
      <c r="E1433">
        <f t="shared" si="136"/>
        <v>1</v>
      </c>
      <c r="F1433" s="2">
        <f t="shared" si="137"/>
        <v>0</v>
      </c>
      <c r="G1433" s="2">
        <f t="shared" si="133"/>
        <v>15.03375480454001</v>
      </c>
      <c r="H1433" s="2">
        <f t="shared" si="134"/>
        <v>68.057592198699297</v>
      </c>
    </row>
    <row r="1434" spans="1:8" x14ac:dyDescent="0.3">
      <c r="A1434" s="1">
        <v>43984</v>
      </c>
      <c r="B1434">
        <v>9529.8037110000005</v>
      </c>
      <c r="C1434" s="2">
        <f t="shared" si="132"/>
        <v>-6.2697748225260641E-2</v>
      </c>
      <c r="D1434">
        <f t="shared" si="135"/>
        <v>9659.5337892000007</v>
      </c>
      <c r="E1434">
        <f t="shared" si="136"/>
        <v>0</v>
      </c>
      <c r="F1434" s="2">
        <f t="shared" si="137"/>
        <v>-6.2697748225260641E-2</v>
      </c>
      <c r="G1434" s="2">
        <f t="shared" si="133"/>
        <v>14.091172230924657</v>
      </c>
      <c r="H1434" s="2">
        <f t="shared" si="134"/>
        <v>63.790534418207784</v>
      </c>
    </row>
    <row r="1435" spans="1:8" x14ac:dyDescent="0.3">
      <c r="A1435" s="1">
        <v>43985</v>
      </c>
      <c r="B1435">
        <v>9656.7177730000003</v>
      </c>
      <c r="C1435" s="2">
        <f t="shared" si="132"/>
        <v>1.3317594553758472E-2</v>
      </c>
      <c r="D1435">
        <f t="shared" si="135"/>
        <v>9703.0525392000018</v>
      </c>
      <c r="E1435">
        <f t="shared" si="136"/>
        <v>0</v>
      </c>
      <c r="F1435" s="2">
        <f t="shared" si="137"/>
        <v>0</v>
      </c>
      <c r="G1435" s="2">
        <f t="shared" si="133"/>
        <v>14.278832749483293</v>
      </c>
      <c r="H1435" s="2">
        <f t="shared" si="134"/>
        <v>63.790534418207784</v>
      </c>
    </row>
    <row r="1436" spans="1:8" x14ac:dyDescent="0.3">
      <c r="A1436" s="1">
        <v>43986</v>
      </c>
      <c r="B1436">
        <v>9800.6367190000001</v>
      </c>
      <c r="C1436" s="2">
        <f t="shared" si="132"/>
        <v>1.4903505454243904E-2</v>
      </c>
      <c r="D1436">
        <f t="shared" si="135"/>
        <v>9723.097070400001</v>
      </c>
      <c r="E1436">
        <f t="shared" si="136"/>
        <v>1</v>
      </c>
      <c r="F1436" s="2">
        <f t="shared" si="137"/>
        <v>0</v>
      </c>
      <c r="G1436" s="2">
        <f t="shared" si="133"/>
        <v>14.491637411245453</v>
      </c>
      <c r="H1436" s="2">
        <f t="shared" si="134"/>
        <v>63.790534418207784</v>
      </c>
    </row>
    <row r="1437" spans="1:8" x14ac:dyDescent="0.3">
      <c r="A1437" s="1">
        <v>43987</v>
      </c>
      <c r="B1437">
        <v>9665.5332030000009</v>
      </c>
      <c r="C1437" s="2">
        <f t="shared" si="132"/>
        <v>-1.3785177419960992E-2</v>
      </c>
      <c r="D1437">
        <f t="shared" si="135"/>
        <v>9763.9919922000008</v>
      </c>
      <c r="E1437">
        <f t="shared" si="136"/>
        <v>0</v>
      </c>
      <c r="F1437" s="2">
        <f t="shared" si="137"/>
        <v>-1.3785177419960992E-2</v>
      </c>
      <c r="G1437" s="2">
        <f t="shared" si="133"/>
        <v>14.291867618425689</v>
      </c>
      <c r="H1437" s="2">
        <f t="shared" si="134"/>
        <v>62.911170583538663</v>
      </c>
    </row>
    <row r="1438" spans="1:8" x14ac:dyDescent="0.3">
      <c r="A1438" s="1">
        <v>43988</v>
      </c>
      <c r="B1438">
        <v>9653.6796880000002</v>
      </c>
      <c r="C1438" s="2">
        <f t="shared" si="132"/>
        <v>-1.2263694874403708E-3</v>
      </c>
      <c r="D1438">
        <f t="shared" si="135"/>
        <v>9661.2742188000011</v>
      </c>
      <c r="E1438">
        <f t="shared" si="136"/>
        <v>0</v>
      </c>
      <c r="F1438" s="2">
        <f t="shared" si="137"/>
        <v>0</v>
      </c>
      <c r="G1438" s="2">
        <f t="shared" si="133"/>
        <v>14.274340508059915</v>
      </c>
      <c r="H1438" s="2">
        <f t="shared" si="134"/>
        <v>62.911170583538663</v>
      </c>
    </row>
    <row r="1439" spans="1:8" x14ac:dyDescent="0.3">
      <c r="A1439" s="1">
        <v>43989</v>
      </c>
      <c r="B1439">
        <v>9758.8525389999995</v>
      </c>
      <c r="C1439" s="2">
        <f t="shared" si="132"/>
        <v>1.0894586768891212E-2</v>
      </c>
      <c r="D1439">
        <f t="shared" si="135"/>
        <v>9707.0839844000002</v>
      </c>
      <c r="E1439">
        <f t="shared" si="136"/>
        <v>1</v>
      </c>
      <c r="F1439" s="2">
        <f t="shared" si="137"/>
        <v>0</v>
      </c>
      <c r="G1439" s="2">
        <f t="shared" si="133"/>
        <v>14.429853549293671</v>
      </c>
      <c r="H1439" s="2">
        <f t="shared" si="134"/>
        <v>62.911170583538663</v>
      </c>
    </row>
    <row r="1440" spans="1:8" x14ac:dyDescent="0.3">
      <c r="A1440" s="1">
        <v>43990</v>
      </c>
      <c r="B1440">
        <v>9771.4892579999996</v>
      </c>
      <c r="C1440" s="2">
        <f t="shared" si="132"/>
        <v>1.2948980373972407E-3</v>
      </c>
      <c r="D1440">
        <f t="shared" si="135"/>
        <v>9730.0382814000004</v>
      </c>
      <c r="E1440">
        <f t="shared" si="136"/>
        <v>1</v>
      </c>
      <c r="F1440" s="2">
        <f t="shared" si="137"/>
        <v>1.2948980373972407E-3</v>
      </c>
      <c r="G1440" s="2">
        <f t="shared" si="133"/>
        <v>14.448538738334582</v>
      </c>
      <c r="H1440" s="2">
        <f t="shared" si="134"/>
        <v>62.992634134857653</v>
      </c>
    </row>
    <row r="1441" spans="1:8" x14ac:dyDescent="0.3">
      <c r="A1441" s="1">
        <v>43991</v>
      </c>
      <c r="B1441">
        <v>9795.7001949999994</v>
      </c>
      <c r="C1441" s="2">
        <f t="shared" si="132"/>
        <v>2.4777120826466881E-3</v>
      </c>
      <c r="D1441">
        <f t="shared" si="135"/>
        <v>9729.0509765999996</v>
      </c>
      <c r="E1441">
        <f t="shared" si="136"/>
        <v>1</v>
      </c>
      <c r="F1441" s="2">
        <f t="shared" si="137"/>
        <v>2.4777120826466881E-3</v>
      </c>
      <c r="G1441" s="2">
        <f t="shared" si="133"/>
        <v>14.484338057343143</v>
      </c>
      <c r="H1441" s="2">
        <f t="shared" si="134"/>
        <v>63.148711745571333</v>
      </c>
    </row>
    <row r="1442" spans="1:8" x14ac:dyDescent="0.3">
      <c r="A1442" s="1">
        <v>43992</v>
      </c>
      <c r="B1442">
        <v>9870.0947269999997</v>
      </c>
      <c r="C1442" s="2">
        <f t="shared" si="132"/>
        <v>7.5946109536890738E-3</v>
      </c>
      <c r="D1442">
        <f t="shared" si="135"/>
        <v>9769.9632813999979</v>
      </c>
      <c r="E1442">
        <f t="shared" si="136"/>
        <v>1</v>
      </c>
      <c r="F1442" s="2">
        <f t="shared" si="137"/>
        <v>7.5946109536890738E-3</v>
      </c>
      <c r="G1442" s="2">
        <f t="shared" si="133"/>
        <v>14.594340969810377</v>
      </c>
      <c r="H1442" s="2">
        <f t="shared" si="134"/>
        <v>63.628301643505601</v>
      </c>
    </row>
    <row r="1443" spans="1:8" x14ac:dyDescent="0.3">
      <c r="A1443" s="1">
        <v>43993</v>
      </c>
      <c r="B1443">
        <v>9321.78125</v>
      </c>
      <c r="C1443" s="2">
        <f t="shared" si="132"/>
        <v>-5.5553010600806974E-2</v>
      </c>
      <c r="D1443">
        <f t="shared" si="135"/>
        <v>9703.5835938</v>
      </c>
      <c r="E1443">
        <f t="shared" si="136"/>
        <v>0</v>
      </c>
      <c r="F1443" s="2">
        <f t="shared" si="137"/>
        <v>-5.5553010600806974E-2</v>
      </c>
      <c r="G1443" s="2">
        <f t="shared" si="133"/>
        <v>13.783581391202709</v>
      </c>
      <c r="H1443" s="2">
        <f t="shared" si="134"/>
        <v>60.093557927792588</v>
      </c>
    </row>
    <row r="1444" spans="1:8" x14ac:dyDescent="0.3">
      <c r="A1444" s="1">
        <v>43994</v>
      </c>
      <c r="B1444">
        <v>9480.84375</v>
      </c>
      <c r="C1444" s="2">
        <f t="shared" si="132"/>
        <v>1.7063530642279279E-2</v>
      </c>
      <c r="D1444">
        <f t="shared" si="135"/>
        <v>9647.9818360000008</v>
      </c>
      <c r="E1444">
        <f t="shared" si="136"/>
        <v>0</v>
      </c>
      <c r="F1444" s="2">
        <f t="shared" si="137"/>
        <v>0</v>
      </c>
      <c r="G1444" s="2">
        <f t="shared" si="133"/>
        <v>14.018777954631847</v>
      </c>
      <c r="H1444" s="2">
        <f t="shared" si="134"/>
        <v>60.093557927792588</v>
      </c>
    </row>
    <row r="1445" spans="1:8" x14ac:dyDescent="0.3">
      <c r="A1445" s="1">
        <v>43995</v>
      </c>
      <c r="B1445">
        <v>9475.2773440000001</v>
      </c>
      <c r="C1445" s="2">
        <f t="shared" si="132"/>
        <v>-5.8712137303174039E-4</v>
      </c>
      <c r="D1445">
        <f t="shared" si="135"/>
        <v>9588.7394531999998</v>
      </c>
      <c r="E1445">
        <f t="shared" si="136"/>
        <v>0</v>
      </c>
      <c r="F1445" s="2">
        <f t="shared" si="137"/>
        <v>0</v>
      </c>
      <c r="G1445" s="2">
        <f t="shared" si="133"/>
        <v>14.010547230470896</v>
      </c>
      <c r="H1445" s="2">
        <f t="shared" si="134"/>
        <v>60.093557927792588</v>
      </c>
    </row>
    <row r="1446" spans="1:8" x14ac:dyDescent="0.3">
      <c r="A1446" s="1">
        <v>43996</v>
      </c>
      <c r="B1446">
        <v>9386.7880860000005</v>
      </c>
      <c r="C1446" s="2">
        <f t="shared" si="132"/>
        <v>-9.3389623108006692E-3</v>
      </c>
      <c r="D1446">
        <f t="shared" si="135"/>
        <v>9506.9570313999993</v>
      </c>
      <c r="E1446">
        <f t="shared" si="136"/>
        <v>0</v>
      </c>
      <c r="F1446" s="2">
        <f t="shared" si="137"/>
        <v>0</v>
      </c>
      <c r="G1446" s="2">
        <f t="shared" si="133"/>
        <v>13.879703257931837</v>
      </c>
      <c r="H1446" s="2">
        <f t="shared" si="134"/>
        <v>60.093557927792588</v>
      </c>
    </row>
    <row r="1447" spans="1:8" x14ac:dyDescent="0.3">
      <c r="A1447" s="1">
        <v>43997</v>
      </c>
      <c r="B1447">
        <v>9450.7021480000003</v>
      </c>
      <c r="C1447" s="2">
        <f t="shared" si="132"/>
        <v>6.8089384158278587E-3</v>
      </c>
      <c r="D1447">
        <f t="shared" si="135"/>
        <v>9423.0785156000002</v>
      </c>
      <c r="E1447">
        <f t="shared" si="136"/>
        <v>1</v>
      </c>
      <c r="F1447" s="2">
        <f t="shared" si="137"/>
        <v>0</v>
      </c>
      <c r="G1447" s="2">
        <f t="shared" si="133"/>
        <v>13.974209302645059</v>
      </c>
      <c r="H1447" s="2">
        <f t="shared" si="134"/>
        <v>60.093557927792588</v>
      </c>
    </row>
    <row r="1448" spans="1:8" x14ac:dyDescent="0.3">
      <c r="A1448" s="1">
        <v>43998</v>
      </c>
      <c r="B1448">
        <v>9538.0244139999995</v>
      </c>
      <c r="C1448" s="2">
        <f t="shared" si="132"/>
        <v>9.2397649013284955E-3</v>
      </c>
      <c r="D1448">
        <f t="shared" si="135"/>
        <v>9466.3271483999997</v>
      </c>
      <c r="E1448">
        <f t="shared" si="136"/>
        <v>1</v>
      </c>
      <c r="F1448" s="2">
        <f t="shared" si="137"/>
        <v>9.2397649013284955E-3</v>
      </c>
      <c r="G1448" s="2">
        <f t="shared" si="133"/>
        <v>14.103327711283457</v>
      </c>
      <c r="H1448" s="2">
        <f t="shared" si="134"/>
        <v>60.64880827512976</v>
      </c>
    </row>
    <row r="1449" spans="1:8" x14ac:dyDescent="0.3">
      <c r="A1449" s="1">
        <v>43999</v>
      </c>
      <c r="B1449">
        <v>9480.2548829999996</v>
      </c>
      <c r="C1449" s="2">
        <f t="shared" si="132"/>
        <v>-6.0567606552993647E-3</v>
      </c>
      <c r="D1449">
        <f t="shared" si="135"/>
        <v>9466.2093750000004</v>
      </c>
      <c r="E1449">
        <f t="shared" si="136"/>
        <v>1</v>
      </c>
      <c r="F1449" s="2">
        <f t="shared" si="137"/>
        <v>-6.0567606552993647E-3</v>
      </c>
      <c r="G1449" s="2">
        <f t="shared" si="133"/>
        <v>14.017907230892963</v>
      </c>
      <c r="H1449" s="2">
        <f t="shared" si="134"/>
        <v>60.281472959378156</v>
      </c>
    </row>
    <row r="1450" spans="1:8" x14ac:dyDescent="0.3">
      <c r="A1450" s="1">
        <v>44000</v>
      </c>
      <c r="B1450">
        <v>9411.8408199999994</v>
      </c>
      <c r="C1450" s="2">
        <f t="shared" si="132"/>
        <v>-7.2164792871424188E-3</v>
      </c>
      <c r="D1450">
        <f t="shared" si="135"/>
        <v>9453.5220701999988</v>
      </c>
      <c r="E1450">
        <f t="shared" si="136"/>
        <v>0</v>
      </c>
      <c r="F1450" s="2">
        <f t="shared" si="137"/>
        <v>-7.2164792871424188E-3</v>
      </c>
      <c r="G1450" s="2">
        <f t="shared" si="133"/>
        <v>13.91674729371214</v>
      </c>
      <c r="H1450" s="2">
        <f t="shared" si="134"/>
        <v>59.846452958368367</v>
      </c>
    </row>
    <row r="1451" spans="1:8" x14ac:dyDescent="0.3">
      <c r="A1451" s="1">
        <v>44001</v>
      </c>
      <c r="B1451">
        <v>9288.0185550000006</v>
      </c>
      <c r="C1451" s="2">
        <f t="shared" si="132"/>
        <v>-1.3156009261958479E-2</v>
      </c>
      <c r="D1451">
        <f t="shared" si="135"/>
        <v>9433.7681639999992</v>
      </c>
      <c r="E1451">
        <f t="shared" si="136"/>
        <v>0</v>
      </c>
      <c r="F1451" s="2">
        <f t="shared" si="137"/>
        <v>0</v>
      </c>
      <c r="G1451" s="2">
        <f t="shared" si="133"/>
        <v>13.733658437419727</v>
      </c>
      <c r="H1451" s="2">
        <f t="shared" si="134"/>
        <v>59.846452958368367</v>
      </c>
    </row>
    <row r="1452" spans="1:8" x14ac:dyDescent="0.3">
      <c r="A1452" s="1">
        <v>44002</v>
      </c>
      <c r="B1452">
        <v>9332.3408199999994</v>
      </c>
      <c r="C1452" s="2">
        <f t="shared" si="132"/>
        <v>4.7719828225514238E-3</v>
      </c>
      <c r="D1452">
        <f t="shared" si="135"/>
        <v>9410.095898399999</v>
      </c>
      <c r="E1452">
        <f t="shared" si="136"/>
        <v>0</v>
      </c>
      <c r="F1452" s="2">
        <f t="shared" si="137"/>
        <v>0</v>
      </c>
      <c r="G1452" s="2">
        <f t="shared" si="133"/>
        <v>13.799195219573882</v>
      </c>
      <c r="H1452" s="2">
        <f t="shared" si="134"/>
        <v>59.846452958368367</v>
      </c>
    </row>
    <row r="1453" spans="1:8" x14ac:dyDescent="0.3">
      <c r="A1453" s="1">
        <v>44003</v>
      </c>
      <c r="B1453">
        <v>9303.6298829999996</v>
      </c>
      <c r="C1453" s="2">
        <f t="shared" si="132"/>
        <v>-3.0764989785274643E-3</v>
      </c>
      <c r="D1453">
        <f t="shared" si="135"/>
        <v>9363.2169921999994</v>
      </c>
      <c r="E1453">
        <f t="shared" si="136"/>
        <v>0</v>
      </c>
      <c r="F1453" s="2">
        <f t="shared" si="137"/>
        <v>0</v>
      </c>
      <c r="G1453" s="2">
        <f t="shared" si="133"/>
        <v>13.756742009576362</v>
      </c>
      <c r="H1453" s="2">
        <f t="shared" si="134"/>
        <v>59.846452958368367</v>
      </c>
    </row>
    <row r="1454" spans="1:8" x14ac:dyDescent="0.3">
      <c r="A1454" s="1">
        <v>44004</v>
      </c>
      <c r="B1454">
        <v>9648.7177730000003</v>
      </c>
      <c r="C1454" s="2">
        <f t="shared" si="132"/>
        <v>3.7091747451235113E-2</v>
      </c>
      <c r="D1454">
        <f t="shared" si="135"/>
        <v>9396.9095701999995</v>
      </c>
      <c r="E1454">
        <f t="shared" si="136"/>
        <v>1</v>
      </c>
      <c r="F1454" s="2">
        <f t="shared" si="137"/>
        <v>0</v>
      </c>
      <c r="G1454" s="2">
        <f t="shared" si="133"/>
        <v>14.267003609947364</v>
      </c>
      <c r="H1454" s="2">
        <f t="shared" si="134"/>
        <v>59.846452958368367</v>
      </c>
    </row>
    <row r="1455" spans="1:8" x14ac:dyDescent="0.3">
      <c r="A1455" s="1">
        <v>44005</v>
      </c>
      <c r="B1455">
        <v>9629.6582030000009</v>
      </c>
      <c r="C1455" s="2">
        <f t="shared" si="132"/>
        <v>-1.9753474449561992E-3</v>
      </c>
      <c r="D1455">
        <f t="shared" si="135"/>
        <v>9440.4730467999998</v>
      </c>
      <c r="E1455">
        <f t="shared" si="136"/>
        <v>1</v>
      </c>
      <c r="F1455" s="2">
        <f t="shared" si="137"/>
        <v>-1.9753474449561992E-3</v>
      </c>
      <c r="G1455" s="2">
        <f t="shared" si="133"/>
        <v>14.238821320819275</v>
      </c>
      <c r="H1455" s="2">
        <f t="shared" si="134"/>
        <v>59.72823542042736</v>
      </c>
    </row>
    <row r="1456" spans="1:8" x14ac:dyDescent="0.3">
      <c r="A1456" s="1">
        <v>44006</v>
      </c>
      <c r="B1456">
        <v>9313.6103519999997</v>
      </c>
      <c r="C1456" s="2">
        <f t="shared" si="132"/>
        <v>-3.2820256372291579E-2</v>
      </c>
      <c r="D1456">
        <f t="shared" si="135"/>
        <v>9445.5914061999993</v>
      </c>
      <c r="E1456">
        <f t="shared" si="136"/>
        <v>0</v>
      </c>
      <c r="F1456" s="2">
        <f t="shared" si="137"/>
        <v>-3.2820256372291579E-2</v>
      </c>
      <c r="G1456" s="2">
        <f t="shared" si="133"/>
        <v>13.771499554630735</v>
      </c>
      <c r="H1456" s="2">
        <f t="shared" si="134"/>
        <v>57.767939421264344</v>
      </c>
    </row>
    <row r="1457" spans="1:8" x14ac:dyDescent="0.3">
      <c r="A1457" s="1">
        <v>44007</v>
      </c>
      <c r="B1457">
        <v>9264.8134769999997</v>
      </c>
      <c r="C1457" s="2">
        <f t="shared" si="132"/>
        <v>-5.239308190461478E-3</v>
      </c>
      <c r="D1457">
        <f t="shared" si="135"/>
        <v>9432.0859376000008</v>
      </c>
      <c r="E1457">
        <f t="shared" si="136"/>
        <v>0</v>
      </c>
      <c r="F1457" s="2">
        <f t="shared" si="137"/>
        <v>0</v>
      </c>
      <c r="G1457" s="2">
        <f t="shared" si="133"/>
        <v>13.699346424219222</v>
      </c>
      <c r="H1457" s="2">
        <f t="shared" si="134"/>
        <v>57.767939421264344</v>
      </c>
    </row>
    <row r="1458" spans="1:8" x14ac:dyDescent="0.3">
      <c r="A1458" s="1">
        <v>44008</v>
      </c>
      <c r="B1458">
        <v>9162.9179690000001</v>
      </c>
      <c r="C1458" s="2">
        <f t="shared" si="132"/>
        <v>-1.0998117582502465E-2</v>
      </c>
      <c r="D1458">
        <f t="shared" si="135"/>
        <v>9403.9435548000001</v>
      </c>
      <c r="E1458">
        <f t="shared" si="136"/>
        <v>0</v>
      </c>
      <c r="F1458" s="2">
        <f t="shared" si="137"/>
        <v>0</v>
      </c>
      <c r="G1458" s="2">
        <f t="shared" si="133"/>
        <v>13.548679401442223</v>
      </c>
      <c r="H1458" s="2">
        <f t="shared" si="134"/>
        <v>57.767939421264344</v>
      </c>
    </row>
    <row r="1459" spans="1:8" x14ac:dyDescent="0.3">
      <c r="A1459" s="1">
        <v>44009</v>
      </c>
      <c r="B1459">
        <v>9045.390625</v>
      </c>
      <c r="C1459" s="2">
        <f t="shared" si="132"/>
        <v>-1.2826410145503786E-2</v>
      </c>
      <c r="D1459">
        <f t="shared" si="135"/>
        <v>9283.2781252000004</v>
      </c>
      <c r="E1459">
        <f t="shared" si="136"/>
        <v>0</v>
      </c>
      <c r="F1459" s="2">
        <f t="shared" si="137"/>
        <v>0</v>
      </c>
      <c r="G1459" s="2">
        <f t="shared" si="133"/>
        <v>13.374898482509387</v>
      </c>
      <c r="H1459" s="2">
        <f t="shared" si="134"/>
        <v>57.767939421264344</v>
      </c>
    </row>
    <row r="1460" spans="1:8" x14ac:dyDescent="0.3">
      <c r="A1460" s="1">
        <v>44010</v>
      </c>
      <c r="B1460">
        <v>9143.5820309999999</v>
      </c>
      <c r="C1460" s="2">
        <f t="shared" si="132"/>
        <v>1.0855408027223845E-2</v>
      </c>
      <c r="D1460">
        <f t="shared" si="135"/>
        <v>9186.0628907999999</v>
      </c>
      <c r="E1460">
        <f t="shared" si="136"/>
        <v>0</v>
      </c>
      <c r="F1460" s="2">
        <f t="shared" si="137"/>
        <v>0</v>
      </c>
      <c r="G1460" s="2">
        <f t="shared" si="133"/>
        <v>13.520088462859723</v>
      </c>
      <c r="H1460" s="2">
        <f t="shared" si="134"/>
        <v>57.767939421264344</v>
      </c>
    </row>
    <row r="1461" spans="1:8" x14ac:dyDescent="0.3">
      <c r="A1461" s="1">
        <v>44011</v>
      </c>
      <c r="B1461">
        <v>9190.8544920000004</v>
      </c>
      <c r="C1461" s="2">
        <f t="shared" si="132"/>
        <v>5.1700155190526065E-3</v>
      </c>
      <c r="D1461">
        <f t="shared" si="135"/>
        <v>9161.5117187999986</v>
      </c>
      <c r="E1461">
        <f t="shared" si="136"/>
        <v>1</v>
      </c>
      <c r="F1461" s="2">
        <f t="shared" si="137"/>
        <v>0</v>
      </c>
      <c r="G1461" s="2">
        <f t="shared" si="133"/>
        <v>13.589987530031673</v>
      </c>
      <c r="H1461" s="2">
        <f t="shared" si="134"/>
        <v>57.767939421264344</v>
      </c>
    </row>
    <row r="1462" spans="1:8" x14ac:dyDescent="0.3">
      <c r="A1462" s="1">
        <v>44012</v>
      </c>
      <c r="B1462">
        <v>9137.9931639999995</v>
      </c>
      <c r="C1462" s="2">
        <f t="shared" si="132"/>
        <v>-5.7515139692411177E-3</v>
      </c>
      <c r="D1462">
        <f t="shared" si="135"/>
        <v>9136.1476561999989</v>
      </c>
      <c r="E1462">
        <f t="shared" si="136"/>
        <v>1</v>
      </c>
      <c r="F1462" s="2">
        <f t="shared" si="137"/>
        <v>-5.7515139692411177E-3</v>
      </c>
      <c r="G1462" s="2">
        <f t="shared" si="133"/>
        <v>13.511824526910884</v>
      </c>
      <c r="H1462" s="2">
        <f t="shared" si="134"/>
        <v>57.435686310708668</v>
      </c>
    </row>
    <row r="1463" spans="1:8" x14ac:dyDescent="0.3">
      <c r="A1463" s="1">
        <v>44013</v>
      </c>
      <c r="B1463">
        <v>9228.3251949999994</v>
      </c>
      <c r="C1463" s="2">
        <f t="shared" si="132"/>
        <v>9.885324860591016E-3</v>
      </c>
      <c r="D1463">
        <f t="shared" si="135"/>
        <v>9149.2291013999984</v>
      </c>
      <c r="E1463">
        <f t="shared" si="136"/>
        <v>1</v>
      </c>
      <c r="F1463" s="2">
        <f t="shared" si="137"/>
        <v>9.885324860591016E-3</v>
      </c>
      <c r="G1463" s="2">
        <f t="shared" si="133"/>
        <v>13.6453933018187</v>
      </c>
      <c r="H1463" s="2">
        <f t="shared" si="134"/>
        <v>58.003456728481027</v>
      </c>
    </row>
    <row r="1464" spans="1:8" x14ac:dyDescent="0.3">
      <c r="A1464" s="1">
        <v>44014</v>
      </c>
      <c r="B1464">
        <v>9123.4101559999999</v>
      </c>
      <c r="C1464" s="2">
        <f t="shared" si="132"/>
        <v>-1.1368806016593735E-2</v>
      </c>
      <c r="D1464">
        <f t="shared" si="135"/>
        <v>9164.8330076000002</v>
      </c>
      <c r="E1464">
        <f t="shared" si="136"/>
        <v>0</v>
      </c>
      <c r="F1464" s="2">
        <f t="shared" si="137"/>
        <v>-1.1368806016593735E-2</v>
      </c>
      <c r="G1464" s="2">
        <f t="shared" si="133"/>
        <v>13.490261472350197</v>
      </c>
      <c r="H1464" s="2">
        <f t="shared" si="134"/>
        <v>57.34402668064304</v>
      </c>
    </row>
    <row r="1465" spans="1:8" x14ac:dyDescent="0.3">
      <c r="A1465" s="1">
        <v>44015</v>
      </c>
      <c r="B1465">
        <v>9087.3037110000005</v>
      </c>
      <c r="C1465" s="2">
        <f t="shared" si="132"/>
        <v>-3.957560208586508E-3</v>
      </c>
      <c r="D1465">
        <f t="shared" si="135"/>
        <v>9153.5773435999981</v>
      </c>
      <c r="E1465">
        <f t="shared" si="136"/>
        <v>0</v>
      </c>
      <c r="F1465" s="2">
        <f t="shared" si="137"/>
        <v>0</v>
      </c>
      <c r="G1465" s="2">
        <f t="shared" si="133"/>
        <v>13.436872950343796</v>
      </c>
      <c r="H1465" s="2">
        <f t="shared" si="134"/>
        <v>57.34402668064304</v>
      </c>
    </row>
    <row r="1466" spans="1:8" x14ac:dyDescent="0.3">
      <c r="A1466" s="1">
        <v>44016</v>
      </c>
      <c r="B1466">
        <v>9132.4882809999999</v>
      </c>
      <c r="C1466" s="2">
        <f t="shared" si="132"/>
        <v>4.9722746633089621E-3</v>
      </c>
      <c r="D1466">
        <f t="shared" si="135"/>
        <v>9141.9041013999995</v>
      </c>
      <c r="E1466">
        <f t="shared" si="136"/>
        <v>0</v>
      </c>
      <c r="F1466" s="2">
        <f t="shared" si="137"/>
        <v>0</v>
      </c>
      <c r="G1466" s="2">
        <f t="shared" si="133"/>
        <v>13.503684773268892</v>
      </c>
      <c r="H1466" s="2">
        <f t="shared" si="134"/>
        <v>57.34402668064304</v>
      </c>
    </row>
    <row r="1467" spans="1:8" x14ac:dyDescent="0.3">
      <c r="A1467" s="1">
        <v>44017</v>
      </c>
      <c r="B1467">
        <v>9073.9423829999996</v>
      </c>
      <c r="C1467" s="2">
        <f t="shared" si="132"/>
        <v>-6.4107279635720049E-3</v>
      </c>
      <c r="D1467">
        <f t="shared" si="135"/>
        <v>9129.0939452000002</v>
      </c>
      <c r="E1467">
        <f t="shared" si="136"/>
        <v>0</v>
      </c>
      <c r="F1467" s="2">
        <f t="shared" si="137"/>
        <v>0</v>
      </c>
      <c r="G1467" s="2">
        <f t="shared" si="133"/>
        <v>13.417116323681636</v>
      </c>
      <c r="H1467" s="2">
        <f t="shared" si="134"/>
        <v>57.34402668064304</v>
      </c>
    </row>
    <row r="1468" spans="1:8" x14ac:dyDescent="0.3">
      <c r="A1468" s="1">
        <v>44018</v>
      </c>
      <c r="B1468">
        <v>9375.4746090000008</v>
      </c>
      <c r="C1468" s="2">
        <f t="shared" si="132"/>
        <v>3.3230564320633205E-2</v>
      </c>
      <c r="D1468">
        <f t="shared" si="135"/>
        <v>9158.5238279999994</v>
      </c>
      <c r="E1468">
        <f t="shared" si="136"/>
        <v>1</v>
      </c>
      <c r="F1468" s="2">
        <f t="shared" si="137"/>
        <v>0</v>
      </c>
      <c r="G1468" s="2">
        <f t="shared" si="133"/>
        <v>13.862974670673157</v>
      </c>
      <c r="H1468" s="2">
        <f t="shared" si="134"/>
        <v>57.34402668064304</v>
      </c>
    </row>
    <row r="1469" spans="1:8" x14ac:dyDescent="0.3">
      <c r="A1469" s="1">
        <v>44019</v>
      </c>
      <c r="B1469">
        <v>9252.2773440000001</v>
      </c>
      <c r="C1469" s="2">
        <f t="shared" si="132"/>
        <v>-1.3140376368972029E-2</v>
      </c>
      <c r="D1469">
        <f t="shared" si="135"/>
        <v>9184.2972656000002</v>
      </c>
      <c r="E1469">
        <f t="shared" si="136"/>
        <v>1</v>
      </c>
      <c r="F1469" s="2">
        <f t="shared" si="137"/>
        <v>-1.3140376368972029E-2</v>
      </c>
      <c r="G1469" s="2">
        <f t="shared" si="133"/>
        <v>13.680809965906986</v>
      </c>
      <c r="H1469" s="2">
        <f t="shared" si="134"/>
        <v>56.590504587547017</v>
      </c>
    </row>
    <row r="1470" spans="1:8" x14ac:dyDescent="0.3">
      <c r="A1470" s="1">
        <v>44020</v>
      </c>
      <c r="B1470">
        <v>9428.3330079999996</v>
      </c>
      <c r="C1470" s="2">
        <f t="shared" si="132"/>
        <v>1.902835998687058E-2</v>
      </c>
      <c r="D1470">
        <f t="shared" si="135"/>
        <v>9252.5031249999993</v>
      </c>
      <c r="E1470">
        <f t="shared" si="136"/>
        <v>1</v>
      </c>
      <c r="F1470" s="2">
        <f t="shared" si="137"/>
        <v>1.902835998687058E-2</v>
      </c>
      <c r="G1470" s="2">
        <f t="shared" si="133"/>
        <v>13.941133342850231</v>
      </c>
      <c r="H1470" s="2">
        <f t="shared" si="134"/>
        <v>57.667329080677511</v>
      </c>
    </row>
    <row r="1471" spans="1:8" x14ac:dyDescent="0.3">
      <c r="A1471" s="1">
        <v>44021</v>
      </c>
      <c r="B1471">
        <v>9277.9677730000003</v>
      </c>
      <c r="C1471" s="2">
        <f t="shared" si="132"/>
        <v>-1.5948231237951971E-2</v>
      </c>
      <c r="D1471">
        <f t="shared" si="135"/>
        <v>9281.5990234000001</v>
      </c>
      <c r="E1471">
        <f t="shared" si="136"/>
        <v>0</v>
      </c>
      <c r="F1471" s="2">
        <f t="shared" si="137"/>
        <v>-1.5948231237951971E-2</v>
      </c>
      <c r="G1471" s="2">
        <f t="shared" si="133"/>
        <v>13.718796924579333</v>
      </c>
      <c r="H1471" s="2">
        <f t="shared" si="134"/>
        <v>56.747637181623794</v>
      </c>
    </row>
    <row r="1472" spans="1:8" x14ac:dyDescent="0.3">
      <c r="A1472" s="1">
        <v>44022</v>
      </c>
      <c r="B1472">
        <v>9278.8076170000004</v>
      </c>
      <c r="C1472" s="2">
        <f t="shared" si="132"/>
        <v>9.0520254063086725E-5</v>
      </c>
      <c r="D1472">
        <f t="shared" si="135"/>
        <v>9322.5720701999999</v>
      </c>
      <c r="E1472">
        <f t="shared" si="136"/>
        <v>0</v>
      </c>
      <c r="F1472" s="2">
        <f t="shared" si="137"/>
        <v>0</v>
      </c>
      <c r="G1472" s="2">
        <f t="shared" si="133"/>
        <v>13.720038753562386</v>
      </c>
      <c r="H1472" s="2">
        <f t="shared" si="134"/>
        <v>56.747637181623794</v>
      </c>
    </row>
    <row r="1473" spans="1:8" x14ac:dyDescent="0.3">
      <c r="A1473" s="1">
        <v>44023</v>
      </c>
      <c r="B1473">
        <v>9240.3466800000006</v>
      </c>
      <c r="C1473" s="2">
        <f t="shared" si="132"/>
        <v>-4.1450301145951052E-3</v>
      </c>
      <c r="D1473">
        <f t="shared" si="135"/>
        <v>9295.5464843999998</v>
      </c>
      <c r="E1473">
        <f t="shared" si="136"/>
        <v>0</v>
      </c>
      <c r="F1473" s="2">
        <f t="shared" si="137"/>
        <v>0</v>
      </c>
      <c r="G1473" s="2">
        <f t="shared" si="133"/>
        <v>13.663168779755459</v>
      </c>
      <c r="H1473" s="2">
        <f t="shared" si="134"/>
        <v>56.747637181623794</v>
      </c>
    </row>
    <row r="1474" spans="1:8" x14ac:dyDescent="0.3">
      <c r="A1474" s="1">
        <v>44024</v>
      </c>
      <c r="B1474">
        <v>9276.5</v>
      </c>
      <c r="C1474" s="2">
        <f t="shared" si="132"/>
        <v>3.9125501728469736E-3</v>
      </c>
      <c r="D1474">
        <f t="shared" si="135"/>
        <v>9300.3910156000002</v>
      </c>
      <c r="E1474">
        <f t="shared" si="136"/>
        <v>0</v>
      </c>
      <c r="F1474" s="2">
        <f t="shared" si="137"/>
        <v>0</v>
      </c>
      <c r="G1474" s="2">
        <f t="shared" si="133"/>
        <v>13.716626613126328</v>
      </c>
      <c r="H1474" s="2">
        <f t="shared" si="134"/>
        <v>56.747637181623794</v>
      </c>
    </row>
    <row r="1475" spans="1:8" x14ac:dyDescent="0.3">
      <c r="A1475" s="1">
        <v>44025</v>
      </c>
      <c r="B1475">
        <v>9243.6142579999996</v>
      </c>
      <c r="C1475" s="2">
        <f t="shared" si="132"/>
        <v>-3.5450592357031407E-3</v>
      </c>
      <c r="D1475">
        <f t="shared" si="135"/>
        <v>9263.4472656000016</v>
      </c>
      <c r="E1475">
        <f t="shared" si="136"/>
        <v>0</v>
      </c>
      <c r="F1475" s="2">
        <f t="shared" si="137"/>
        <v>0</v>
      </c>
      <c r="G1475" s="2">
        <f t="shared" si="133"/>
        <v>13.668000359268774</v>
      </c>
      <c r="H1475" s="2">
        <f t="shared" si="134"/>
        <v>56.747637181623794</v>
      </c>
    </row>
    <row r="1476" spans="1:8" x14ac:dyDescent="0.3">
      <c r="A1476" s="1">
        <v>44026</v>
      </c>
      <c r="B1476">
        <v>9243.2138670000004</v>
      </c>
      <c r="C1476" s="2">
        <f t="shared" ref="C1476:C1539" si="138">B1476/B1475-1</f>
        <v>-4.3315416332179169E-5</v>
      </c>
      <c r="D1476">
        <f t="shared" si="135"/>
        <v>9256.4964844000006</v>
      </c>
      <c r="E1476">
        <f t="shared" si="136"/>
        <v>0</v>
      </c>
      <c r="F1476" s="2">
        <f t="shared" si="137"/>
        <v>0</v>
      </c>
      <c r="G1476" s="2">
        <f t="shared" ref="G1476:G1539" si="139">(1+C1476)*G1475</f>
        <v>13.667408324142784</v>
      </c>
      <c r="H1476" s="2">
        <f t="shared" ref="H1476:H1539" si="140">(1+F1476)*H1475</f>
        <v>56.747637181623794</v>
      </c>
    </row>
    <row r="1477" spans="1:8" x14ac:dyDescent="0.3">
      <c r="A1477" s="1">
        <v>44027</v>
      </c>
      <c r="B1477">
        <v>9192.8369139999995</v>
      </c>
      <c r="C1477" s="2">
        <f t="shared" si="138"/>
        <v>-5.4501555113699585E-3</v>
      </c>
      <c r="D1477">
        <f t="shared" si="135"/>
        <v>9239.3023438</v>
      </c>
      <c r="E1477">
        <f t="shared" si="136"/>
        <v>0</v>
      </c>
      <c r="F1477" s="2">
        <f t="shared" si="137"/>
        <v>0</v>
      </c>
      <c r="G1477" s="2">
        <f t="shared" si="139"/>
        <v>13.592918823338813</v>
      </c>
      <c r="H1477" s="2">
        <f t="shared" si="140"/>
        <v>56.747637181623794</v>
      </c>
    </row>
    <row r="1478" spans="1:8" x14ac:dyDescent="0.3">
      <c r="A1478" s="1">
        <v>44028</v>
      </c>
      <c r="B1478">
        <v>9132.2275389999995</v>
      </c>
      <c r="C1478" s="2">
        <f t="shared" si="138"/>
        <v>-6.5931089137126753E-3</v>
      </c>
      <c r="D1478">
        <f t="shared" si="135"/>
        <v>9217.6785156000005</v>
      </c>
      <c r="E1478">
        <f t="shared" si="136"/>
        <v>0</v>
      </c>
      <c r="F1478" s="2">
        <f t="shared" si="137"/>
        <v>0</v>
      </c>
      <c r="G1478" s="2">
        <f t="shared" si="139"/>
        <v>13.503299229081286</v>
      </c>
      <c r="H1478" s="2">
        <f t="shared" si="140"/>
        <v>56.747637181623794</v>
      </c>
    </row>
    <row r="1479" spans="1:8" x14ac:dyDescent="0.3">
      <c r="A1479" s="1">
        <v>44029</v>
      </c>
      <c r="B1479">
        <v>9151.3925780000009</v>
      </c>
      <c r="C1479" s="2">
        <f t="shared" si="138"/>
        <v>2.098616018726629E-3</v>
      </c>
      <c r="D1479">
        <f t="shared" ref="D1479:D1542" si="141">AVERAGE(B1475:B1479)</f>
        <v>9192.6570312000003</v>
      </c>
      <c r="E1479">
        <f t="shared" ref="E1479:E1542" si="142">IF(B1479&gt;D1479,1,0)</f>
        <v>0</v>
      </c>
      <c r="F1479" s="2">
        <f t="shared" si="137"/>
        <v>0</v>
      </c>
      <c r="G1479" s="2">
        <f t="shared" si="139"/>
        <v>13.531637469149095</v>
      </c>
      <c r="H1479" s="2">
        <f t="shared" si="140"/>
        <v>56.747637181623794</v>
      </c>
    </row>
    <row r="1480" spans="1:8" x14ac:dyDescent="0.3">
      <c r="A1480" s="1">
        <v>44030</v>
      </c>
      <c r="B1480">
        <v>9159.0400389999995</v>
      </c>
      <c r="C1480" s="2">
        <f t="shared" si="138"/>
        <v>8.3566090459097353E-4</v>
      </c>
      <c r="D1480">
        <f t="shared" si="141"/>
        <v>9175.7421873999992</v>
      </c>
      <c r="E1480">
        <f t="shared" si="142"/>
        <v>0</v>
      </c>
      <c r="F1480" s="2">
        <f t="shared" ref="F1480:F1543" si="143">E1479*C1480</f>
        <v>0</v>
      </c>
      <c r="G1480" s="2">
        <f t="shared" si="139"/>
        <v>13.542945329557162</v>
      </c>
      <c r="H1480" s="2">
        <f t="shared" si="140"/>
        <v>56.747637181623794</v>
      </c>
    </row>
    <row r="1481" spans="1:8" x14ac:dyDescent="0.3">
      <c r="A1481" s="1">
        <v>44031</v>
      </c>
      <c r="B1481">
        <v>9185.8173829999996</v>
      </c>
      <c r="C1481" s="2">
        <f t="shared" si="138"/>
        <v>2.9235972204488814E-3</v>
      </c>
      <c r="D1481">
        <f t="shared" si="141"/>
        <v>9164.2628905999991</v>
      </c>
      <c r="E1481">
        <f t="shared" si="142"/>
        <v>1</v>
      </c>
      <c r="F1481" s="2">
        <f t="shared" si="143"/>
        <v>0</v>
      </c>
      <c r="G1481" s="2">
        <f t="shared" si="139"/>
        <v>13.582539446879347</v>
      </c>
      <c r="H1481" s="2">
        <f t="shared" si="140"/>
        <v>56.747637181623794</v>
      </c>
    </row>
    <row r="1482" spans="1:8" x14ac:dyDescent="0.3">
      <c r="A1482" s="1">
        <v>44032</v>
      </c>
      <c r="B1482">
        <v>9164.2314449999994</v>
      </c>
      <c r="C1482" s="2">
        <f t="shared" si="138"/>
        <v>-2.3499202193969504E-3</v>
      </c>
      <c r="D1482">
        <f t="shared" si="141"/>
        <v>9158.5417968000002</v>
      </c>
      <c r="E1482">
        <f t="shared" si="142"/>
        <v>1</v>
      </c>
      <c r="F1482" s="2">
        <f t="shared" si="143"/>
        <v>-2.3499202193969504E-3</v>
      </c>
      <c r="G1482" s="2">
        <f t="shared" si="139"/>
        <v>13.550621562802368</v>
      </c>
      <c r="H1482" s="2">
        <f t="shared" si="140"/>
        <v>56.614284761607692</v>
      </c>
    </row>
    <row r="1483" spans="1:8" x14ac:dyDescent="0.3">
      <c r="A1483" s="1">
        <v>44033</v>
      </c>
      <c r="B1483">
        <v>9374.8876949999994</v>
      </c>
      <c r="C1483" s="2">
        <f t="shared" si="138"/>
        <v>2.2986788500953148E-2</v>
      </c>
      <c r="D1483">
        <f t="shared" si="141"/>
        <v>9207.0738279999987</v>
      </c>
      <c r="E1483">
        <f t="shared" si="142"/>
        <v>1</v>
      </c>
      <c r="F1483" s="2">
        <f t="shared" si="143"/>
        <v>2.2986788500953148E-2</v>
      </c>
      <c r="G1483" s="2">
        <f t="shared" si="139"/>
        <v>13.862106834722962</v>
      </c>
      <c r="H1483" s="2">
        <f t="shared" si="140"/>
        <v>57.915665351555504</v>
      </c>
    </row>
    <row r="1484" spans="1:8" x14ac:dyDescent="0.3">
      <c r="A1484" s="1">
        <v>44034</v>
      </c>
      <c r="B1484">
        <v>9525.3632809999999</v>
      </c>
      <c r="C1484" s="2">
        <f t="shared" si="138"/>
        <v>1.6050921450531552E-2</v>
      </c>
      <c r="D1484">
        <f t="shared" si="141"/>
        <v>9281.8679685999996</v>
      </c>
      <c r="E1484">
        <f t="shared" si="142"/>
        <v>1</v>
      </c>
      <c r="F1484" s="2">
        <f t="shared" si="143"/>
        <v>1.6050921450531552E-2</v>
      </c>
      <c r="G1484" s="2">
        <f t="shared" si="139"/>
        <v>14.084606422665976</v>
      </c>
      <c r="H1484" s="2">
        <f t="shared" si="140"/>
        <v>58.845265146868591</v>
      </c>
    </row>
    <row r="1485" spans="1:8" x14ac:dyDescent="0.3">
      <c r="A1485" s="1">
        <v>44035</v>
      </c>
      <c r="B1485">
        <v>9581.0722659999992</v>
      </c>
      <c r="C1485" s="2">
        <f t="shared" si="138"/>
        <v>5.8484892761119234E-3</v>
      </c>
      <c r="D1485">
        <f t="shared" si="141"/>
        <v>9366.2744139999995</v>
      </c>
      <c r="E1485">
        <f t="shared" si="142"/>
        <v>1</v>
      </c>
      <c r="F1485" s="2">
        <f t="shared" si="143"/>
        <v>5.8484892761119234E-3</v>
      </c>
      <c r="G1485" s="2">
        <f t="shared" si="139"/>
        <v>14.166980092287195</v>
      </c>
      <c r="H1485" s="2">
        <f t="shared" si="140"/>
        <v>59.189421049030017</v>
      </c>
    </row>
    <row r="1486" spans="1:8" x14ac:dyDescent="0.3">
      <c r="A1486" s="1">
        <v>44036</v>
      </c>
      <c r="B1486">
        <v>9536.8925780000009</v>
      </c>
      <c r="C1486" s="2">
        <f t="shared" si="138"/>
        <v>-4.6111423412155128E-3</v>
      </c>
      <c r="D1486">
        <f t="shared" si="141"/>
        <v>9436.4894529999983</v>
      </c>
      <c r="E1486">
        <f t="shared" si="142"/>
        <v>1</v>
      </c>
      <c r="F1486" s="2">
        <f t="shared" si="143"/>
        <v>-4.6111423412155128E-3</v>
      </c>
      <c r="G1486" s="2">
        <f t="shared" si="139"/>
        <v>14.101654130536492</v>
      </c>
      <c r="H1486" s="2">
        <f t="shared" si="140"/>
        <v>58.916490203478801</v>
      </c>
    </row>
    <row r="1487" spans="1:8" x14ac:dyDescent="0.3">
      <c r="A1487" s="1">
        <v>44037</v>
      </c>
      <c r="B1487">
        <v>9677.1132809999999</v>
      </c>
      <c r="C1487" s="2">
        <f t="shared" si="138"/>
        <v>1.4702976032619386E-2</v>
      </c>
      <c r="D1487">
        <f t="shared" si="141"/>
        <v>9539.0658201999995</v>
      </c>
      <c r="E1487">
        <f t="shared" si="142"/>
        <v>1</v>
      </c>
      <c r="F1487" s="2">
        <f t="shared" si="143"/>
        <v>1.4702976032619386E-2</v>
      </c>
      <c r="G1487" s="2">
        <f t="shared" si="139"/>
        <v>14.308990413238059</v>
      </c>
      <c r="H1487" s="2">
        <f t="shared" si="140"/>
        <v>59.782737946866604</v>
      </c>
    </row>
    <row r="1488" spans="1:8" x14ac:dyDescent="0.3">
      <c r="A1488" s="1">
        <v>44038</v>
      </c>
      <c r="B1488">
        <v>9905.1669920000004</v>
      </c>
      <c r="C1488" s="2">
        <f t="shared" si="138"/>
        <v>2.3566295482740696E-2</v>
      </c>
      <c r="D1488">
        <f t="shared" si="141"/>
        <v>9645.121679599999</v>
      </c>
      <c r="E1488">
        <f t="shared" si="142"/>
        <v>1</v>
      </c>
      <c r="F1488" s="2">
        <f t="shared" si="143"/>
        <v>2.3566295482740696E-2</v>
      </c>
      <c r="G1488" s="2">
        <f t="shared" si="139"/>
        <v>14.64620030937613</v>
      </c>
      <c r="H1488" s="2">
        <f t="shared" si="140"/>
        <v>61.191595614089714</v>
      </c>
    </row>
    <row r="1489" spans="1:8" x14ac:dyDescent="0.3">
      <c r="A1489" s="1">
        <v>44039</v>
      </c>
      <c r="B1489">
        <v>10990.873046999999</v>
      </c>
      <c r="C1489" s="2">
        <f t="shared" si="138"/>
        <v>0.1096100707718386</v>
      </c>
      <c r="D1489">
        <f t="shared" si="141"/>
        <v>9938.2236327999999</v>
      </c>
      <c r="E1489">
        <f t="shared" si="142"/>
        <v>1</v>
      </c>
      <c r="F1489" s="2">
        <f t="shared" si="143"/>
        <v>0.1096100707718386</v>
      </c>
      <c r="G1489" s="2">
        <f t="shared" si="139"/>
        <v>16.251571361825373</v>
      </c>
      <c r="H1489" s="2">
        <f t="shared" si="140"/>
        <v>67.898810739991816</v>
      </c>
    </row>
    <row r="1490" spans="1:8" x14ac:dyDescent="0.3">
      <c r="A1490" s="1">
        <v>44040</v>
      </c>
      <c r="B1490">
        <v>10912.823242</v>
      </c>
      <c r="C1490" s="2">
        <f t="shared" si="138"/>
        <v>-7.1013289541455027E-3</v>
      </c>
      <c r="D1490">
        <f t="shared" si="141"/>
        <v>10204.573828000001</v>
      </c>
      <c r="E1490">
        <f t="shared" si="142"/>
        <v>1</v>
      </c>
      <c r="F1490" s="2">
        <f t="shared" si="143"/>
        <v>-7.1013289541455027E-3</v>
      </c>
      <c r="G1490" s="2">
        <f t="shared" si="139"/>
        <v>16.136163607563279</v>
      </c>
      <c r="H1490" s="2">
        <f t="shared" si="140"/>
        <v>67.416638949331869</v>
      </c>
    </row>
    <row r="1491" spans="1:8" x14ac:dyDescent="0.3">
      <c r="A1491" s="1">
        <v>44041</v>
      </c>
      <c r="B1491">
        <v>11100.467773</v>
      </c>
      <c r="C1491" s="2">
        <f t="shared" si="138"/>
        <v>1.7194865786684277E-2</v>
      </c>
      <c r="D1491">
        <f t="shared" si="141"/>
        <v>10517.288866999999</v>
      </c>
      <c r="E1491">
        <f t="shared" si="142"/>
        <v>1</v>
      </c>
      <c r="F1491" s="2">
        <f t="shared" si="143"/>
        <v>1.7194865786684277E-2</v>
      </c>
      <c r="G1491" s="2">
        <f t="shared" si="139"/>
        <v>16.41362277510731</v>
      </c>
      <c r="H1491" s="2">
        <f t="shared" si="140"/>
        <v>68.575859007854987</v>
      </c>
    </row>
    <row r="1492" spans="1:8" x14ac:dyDescent="0.3">
      <c r="A1492" s="1">
        <v>44042</v>
      </c>
      <c r="B1492">
        <v>11111.213867</v>
      </c>
      <c r="C1492" s="2">
        <f t="shared" si="138"/>
        <v>9.6807578020619012E-4</v>
      </c>
      <c r="D1492">
        <f t="shared" si="141"/>
        <v>10804.108984199998</v>
      </c>
      <c r="E1492">
        <f t="shared" si="142"/>
        <v>1</v>
      </c>
      <c r="F1492" s="2">
        <f t="shared" si="143"/>
        <v>9.6807578020619012E-4</v>
      </c>
      <c r="G1492" s="2">
        <f t="shared" si="139"/>
        <v>16.429512405781331</v>
      </c>
      <c r="H1492" s="2">
        <f t="shared" si="140"/>
        <v>68.642245636067329</v>
      </c>
    </row>
    <row r="1493" spans="1:8" x14ac:dyDescent="0.3">
      <c r="A1493" s="1">
        <v>44043</v>
      </c>
      <c r="B1493">
        <v>11323.466796999999</v>
      </c>
      <c r="C1493" s="2">
        <f t="shared" si="138"/>
        <v>1.9102587038701824E-2</v>
      </c>
      <c r="D1493">
        <f t="shared" si="141"/>
        <v>11087.7689452</v>
      </c>
      <c r="E1493">
        <f t="shared" si="142"/>
        <v>1</v>
      </c>
      <c r="F1493" s="2">
        <f t="shared" si="143"/>
        <v>1.9102587038701824E-2</v>
      </c>
      <c r="G1493" s="2">
        <f t="shared" si="139"/>
        <v>16.743358596516199</v>
      </c>
      <c r="H1493" s="2">
        <f t="shared" si="140"/>
        <v>69.953490107862251</v>
      </c>
    </row>
    <row r="1494" spans="1:8" x14ac:dyDescent="0.3">
      <c r="A1494" s="1">
        <v>44044</v>
      </c>
      <c r="B1494">
        <v>11759.592773</v>
      </c>
      <c r="C1494" s="2">
        <f t="shared" si="138"/>
        <v>3.8515234231582429E-2</v>
      </c>
      <c r="D1494">
        <f t="shared" si="141"/>
        <v>11241.512890400001</v>
      </c>
      <c r="E1494">
        <f t="shared" si="142"/>
        <v>1</v>
      </c>
      <c r="F1494" s="2">
        <f t="shared" si="143"/>
        <v>3.8515234231582429E-2</v>
      </c>
      <c r="G1494" s="2">
        <f t="shared" si="139"/>
        <v>17.388232974684399</v>
      </c>
      <c r="H1494" s="2">
        <f t="shared" si="140"/>
        <v>72.64776516468325</v>
      </c>
    </row>
    <row r="1495" spans="1:8" x14ac:dyDescent="0.3">
      <c r="A1495" s="1">
        <v>44045</v>
      </c>
      <c r="B1495">
        <v>11053.614258</v>
      </c>
      <c r="C1495" s="2">
        <f t="shared" si="138"/>
        <v>-6.0034265524987029E-2</v>
      </c>
      <c r="D1495">
        <f t="shared" si="141"/>
        <v>11269.671093600002</v>
      </c>
      <c r="E1495">
        <f t="shared" si="142"/>
        <v>0</v>
      </c>
      <c r="F1495" s="2">
        <f t="shared" si="143"/>
        <v>-6.0034265524987029E-2</v>
      </c>
      <c r="G1495" s="2">
        <f t="shared" si="139"/>
        <v>16.34434317927186</v>
      </c>
      <c r="H1495" s="2">
        <f t="shared" si="140"/>
        <v>68.286409940989756</v>
      </c>
    </row>
    <row r="1496" spans="1:8" x14ac:dyDescent="0.3">
      <c r="A1496" s="1">
        <v>44046</v>
      </c>
      <c r="B1496">
        <v>11246.348633</v>
      </c>
      <c r="C1496" s="2">
        <f t="shared" si="138"/>
        <v>1.7436321776880259E-2</v>
      </c>
      <c r="D1496">
        <f t="shared" si="141"/>
        <v>11298.847265599999</v>
      </c>
      <c r="E1496">
        <f t="shared" si="142"/>
        <v>0</v>
      </c>
      <c r="F1496" s="2">
        <f t="shared" si="143"/>
        <v>0</v>
      </c>
      <c r="G1496" s="2">
        <f t="shared" si="139"/>
        <v>16.629328406177404</v>
      </c>
      <c r="H1496" s="2">
        <f t="shared" si="140"/>
        <v>68.286409940989756</v>
      </c>
    </row>
    <row r="1497" spans="1:8" x14ac:dyDescent="0.3">
      <c r="A1497" s="1">
        <v>44047</v>
      </c>
      <c r="B1497">
        <v>11205.892578000001</v>
      </c>
      <c r="C1497" s="2">
        <f t="shared" si="138"/>
        <v>-3.5972613263374198E-3</v>
      </c>
      <c r="D1497">
        <f t="shared" si="141"/>
        <v>11317.783007800001</v>
      </c>
      <c r="E1497">
        <f t="shared" si="142"/>
        <v>0</v>
      </c>
      <c r="F1497" s="2">
        <f t="shared" si="143"/>
        <v>0</v>
      </c>
      <c r="G1497" s="2">
        <f t="shared" si="139"/>
        <v>16.569508366218898</v>
      </c>
      <c r="H1497" s="2">
        <f t="shared" si="140"/>
        <v>68.286409940989756</v>
      </c>
    </row>
    <row r="1498" spans="1:8" x14ac:dyDescent="0.3">
      <c r="A1498" s="1">
        <v>44048</v>
      </c>
      <c r="B1498">
        <v>11747.022461</v>
      </c>
      <c r="C1498" s="2">
        <f t="shared" si="138"/>
        <v>4.8289761768944173E-2</v>
      </c>
      <c r="D1498">
        <f t="shared" si="141"/>
        <v>11402.4941406</v>
      </c>
      <c r="E1498">
        <f t="shared" si="142"/>
        <v>1</v>
      </c>
      <c r="F1498" s="2">
        <f t="shared" si="143"/>
        <v>0</v>
      </c>
      <c r="G1498" s="2">
        <f t="shared" si="139"/>
        <v>17.369645977852137</v>
      </c>
      <c r="H1498" s="2">
        <f t="shared" si="140"/>
        <v>68.286409940989756</v>
      </c>
    </row>
    <row r="1499" spans="1:8" x14ac:dyDescent="0.3">
      <c r="A1499" s="1">
        <v>44049</v>
      </c>
      <c r="B1499">
        <v>11779.773438</v>
      </c>
      <c r="C1499" s="2">
        <f t="shared" si="138"/>
        <v>2.7880236978121697E-3</v>
      </c>
      <c r="D1499">
        <f t="shared" si="141"/>
        <v>11406.530273600001</v>
      </c>
      <c r="E1499">
        <f t="shared" si="142"/>
        <v>1</v>
      </c>
      <c r="F1499" s="2">
        <f t="shared" si="143"/>
        <v>2.7880236978121697E-3</v>
      </c>
      <c r="G1499" s="2">
        <f t="shared" si="139"/>
        <v>17.418072962460997</v>
      </c>
      <c r="H1499" s="2">
        <f t="shared" si="140"/>
        <v>68.476794070143754</v>
      </c>
    </row>
    <row r="1500" spans="1:8" x14ac:dyDescent="0.3">
      <c r="A1500" s="1">
        <v>44050</v>
      </c>
      <c r="B1500">
        <v>11601.472656</v>
      </c>
      <c r="C1500" s="2">
        <f t="shared" si="138"/>
        <v>-1.5136180923889908E-2</v>
      </c>
      <c r="D1500">
        <f t="shared" si="141"/>
        <v>11516.101953200001</v>
      </c>
      <c r="E1500">
        <f t="shared" si="142"/>
        <v>1</v>
      </c>
      <c r="F1500" s="2">
        <f t="shared" si="143"/>
        <v>-1.5136180923889908E-2</v>
      </c>
      <c r="G1500" s="2">
        <f t="shared" si="139"/>
        <v>17.154429858755673</v>
      </c>
      <c r="H1500" s="2">
        <f t="shared" si="140"/>
        <v>67.440316926010112</v>
      </c>
    </row>
    <row r="1501" spans="1:8" x14ac:dyDescent="0.3">
      <c r="A1501" s="1">
        <v>44051</v>
      </c>
      <c r="B1501">
        <v>11754.045898</v>
      </c>
      <c r="C1501" s="2">
        <f t="shared" si="138"/>
        <v>1.3151196104495666E-2</v>
      </c>
      <c r="D1501">
        <f t="shared" si="141"/>
        <v>11617.6414062</v>
      </c>
      <c r="E1501">
        <f t="shared" si="142"/>
        <v>1</v>
      </c>
      <c r="F1501" s="2">
        <f t="shared" si="143"/>
        <v>1.3151196104495666E-2</v>
      </c>
      <c r="G1501" s="2">
        <f t="shared" si="139"/>
        <v>17.380031129888984</v>
      </c>
      <c r="H1501" s="2">
        <f t="shared" si="140"/>
        <v>68.327237759253407</v>
      </c>
    </row>
    <row r="1502" spans="1:8" x14ac:dyDescent="0.3">
      <c r="A1502" s="1">
        <v>44052</v>
      </c>
      <c r="B1502">
        <v>11675.739258</v>
      </c>
      <c r="C1502" s="2">
        <f t="shared" si="138"/>
        <v>-6.6621009207837867E-3</v>
      </c>
      <c r="D1502">
        <f t="shared" si="141"/>
        <v>11711.6107422</v>
      </c>
      <c r="E1502">
        <f t="shared" si="142"/>
        <v>0</v>
      </c>
      <c r="F1502" s="2">
        <f t="shared" si="143"/>
        <v>-6.6621009207837867E-3</v>
      </c>
      <c r="G1502" s="2">
        <f t="shared" si="139"/>
        <v>17.264243608495299</v>
      </c>
      <c r="H1502" s="2">
        <f t="shared" si="140"/>
        <v>67.872034805662878</v>
      </c>
    </row>
    <row r="1503" spans="1:8" x14ac:dyDescent="0.3">
      <c r="A1503" s="1">
        <v>44053</v>
      </c>
      <c r="B1503">
        <v>11878.111328000001</v>
      </c>
      <c r="C1503" s="2">
        <f t="shared" si="138"/>
        <v>1.7332698643585998E-2</v>
      </c>
      <c r="D1503">
        <f t="shared" si="141"/>
        <v>11737.8285156</v>
      </c>
      <c r="E1503">
        <f t="shared" si="142"/>
        <v>1</v>
      </c>
      <c r="F1503" s="2">
        <f t="shared" si="143"/>
        <v>0</v>
      </c>
      <c r="G1503" s="2">
        <f t="shared" si="139"/>
        <v>17.563479540270805</v>
      </c>
      <c r="H1503" s="2">
        <f t="shared" si="140"/>
        <v>67.872034805662878</v>
      </c>
    </row>
    <row r="1504" spans="1:8" x14ac:dyDescent="0.3">
      <c r="A1504" s="1">
        <v>44054</v>
      </c>
      <c r="B1504">
        <v>11410.525390999999</v>
      </c>
      <c r="C1504" s="2">
        <f t="shared" si="138"/>
        <v>-3.9365343873968617E-2</v>
      </c>
      <c r="D1504">
        <f t="shared" si="141"/>
        <v>11663.9789062</v>
      </c>
      <c r="E1504">
        <f t="shared" si="142"/>
        <v>0</v>
      </c>
      <c r="F1504" s="2">
        <f t="shared" si="143"/>
        <v>-3.9365343873968617E-2</v>
      </c>
      <c r="G1504" s="2">
        <f t="shared" si="139"/>
        <v>16.872087128544631</v>
      </c>
      <c r="H1504" s="2">
        <f t="shared" si="140"/>
        <v>65.200228816111988</v>
      </c>
    </row>
    <row r="1505" spans="1:8" x14ac:dyDescent="0.3">
      <c r="A1505" s="1">
        <v>44055</v>
      </c>
      <c r="B1505">
        <v>11584.934569999999</v>
      </c>
      <c r="C1505" s="2">
        <f t="shared" si="138"/>
        <v>1.5284938512784452E-2</v>
      </c>
      <c r="D1505">
        <f t="shared" si="141"/>
        <v>11660.671289</v>
      </c>
      <c r="E1505">
        <f t="shared" si="142"/>
        <v>0</v>
      </c>
      <c r="F1505" s="2">
        <f t="shared" si="143"/>
        <v>0</v>
      </c>
      <c r="G1505" s="2">
        <f t="shared" si="139"/>
        <v>17.129975942886777</v>
      </c>
      <c r="H1505" s="2">
        <f t="shared" si="140"/>
        <v>65.200228816111988</v>
      </c>
    </row>
    <row r="1506" spans="1:8" x14ac:dyDescent="0.3">
      <c r="A1506" s="1">
        <v>44056</v>
      </c>
      <c r="B1506">
        <v>11784.137694999999</v>
      </c>
      <c r="C1506" s="2">
        <f t="shared" si="138"/>
        <v>1.7195015111768575E-2</v>
      </c>
      <c r="D1506">
        <f t="shared" si="141"/>
        <v>11666.689648399999</v>
      </c>
      <c r="E1506">
        <f t="shared" si="142"/>
        <v>1</v>
      </c>
      <c r="F1506" s="2">
        <f t="shared" si="143"/>
        <v>0</v>
      </c>
      <c r="G1506" s="2">
        <f t="shared" si="139"/>
        <v>17.424526138088947</v>
      </c>
      <c r="H1506" s="2">
        <f t="shared" si="140"/>
        <v>65.200228816111988</v>
      </c>
    </row>
    <row r="1507" spans="1:8" x14ac:dyDescent="0.3">
      <c r="A1507" s="1">
        <v>44057</v>
      </c>
      <c r="B1507">
        <v>11768.871094</v>
      </c>
      <c r="C1507" s="2">
        <f t="shared" si="138"/>
        <v>-1.2955212672436378E-3</v>
      </c>
      <c r="D1507">
        <f t="shared" si="141"/>
        <v>11685.316015599999</v>
      </c>
      <c r="E1507">
        <f t="shared" si="142"/>
        <v>1</v>
      </c>
      <c r="F1507" s="2">
        <f t="shared" si="143"/>
        <v>-1.2955212672436378E-3</v>
      </c>
      <c r="G1507" s="2">
        <f t="shared" si="139"/>
        <v>17.40195229390541</v>
      </c>
      <c r="H1507" s="2">
        <f t="shared" si="140"/>
        <v>65.115760533051557</v>
      </c>
    </row>
    <row r="1508" spans="1:8" x14ac:dyDescent="0.3">
      <c r="A1508" s="1">
        <v>44058</v>
      </c>
      <c r="B1508">
        <v>11865.698242</v>
      </c>
      <c r="C1508" s="2">
        <f t="shared" si="138"/>
        <v>8.2273947285704807E-3</v>
      </c>
      <c r="D1508">
        <f t="shared" si="141"/>
        <v>11682.8333984</v>
      </c>
      <c r="E1508">
        <f t="shared" si="142"/>
        <v>1</v>
      </c>
      <c r="F1508" s="2">
        <f t="shared" si="143"/>
        <v>8.2273947285704807E-3</v>
      </c>
      <c r="G1508" s="2">
        <f t="shared" si="139"/>
        <v>17.545125024475123</v>
      </c>
      <c r="H1508" s="2">
        <f t="shared" si="140"/>
        <v>65.651493598008045</v>
      </c>
    </row>
    <row r="1509" spans="1:8" x14ac:dyDescent="0.3">
      <c r="A1509" s="1">
        <v>44059</v>
      </c>
      <c r="B1509">
        <v>11892.803711</v>
      </c>
      <c r="C1509" s="2">
        <f t="shared" si="138"/>
        <v>2.2843551594846634E-3</v>
      </c>
      <c r="D1509">
        <f t="shared" si="141"/>
        <v>11779.289062399999</v>
      </c>
      <c r="E1509">
        <f t="shared" si="142"/>
        <v>1</v>
      </c>
      <c r="F1509" s="2">
        <f t="shared" si="143"/>
        <v>2.2843551594846634E-3</v>
      </c>
      <c r="G1509" s="2">
        <f t="shared" si="139"/>
        <v>17.585204321348588</v>
      </c>
      <c r="H1509" s="2">
        <f t="shared" si="140"/>
        <v>65.801464926136532</v>
      </c>
    </row>
    <row r="1510" spans="1:8" x14ac:dyDescent="0.3">
      <c r="A1510" s="1">
        <v>44060</v>
      </c>
      <c r="B1510">
        <v>12254.402344</v>
      </c>
      <c r="C1510" s="2">
        <f t="shared" si="138"/>
        <v>3.0404826463716672E-2</v>
      </c>
      <c r="D1510">
        <f t="shared" si="141"/>
        <v>11913.1826172</v>
      </c>
      <c r="E1510">
        <f t="shared" si="142"/>
        <v>1</v>
      </c>
      <c r="F1510" s="2">
        <f t="shared" si="143"/>
        <v>3.0404826463716672E-2</v>
      </c>
      <c r="G1510" s="2">
        <f t="shared" si="139"/>
        <v>18.119879407068193</v>
      </c>
      <c r="H1510" s="2">
        <f t="shared" si="140"/>
        <v>67.802147048274051</v>
      </c>
    </row>
    <row r="1511" spans="1:8" x14ac:dyDescent="0.3">
      <c r="A1511" s="1">
        <v>44061</v>
      </c>
      <c r="B1511">
        <v>11991.233398</v>
      </c>
      <c r="C1511" s="2">
        <f t="shared" si="138"/>
        <v>-2.1475461520883754E-2</v>
      </c>
      <c r="D1511">
        <f t="shared" si="141"/>
        <v>11954.601757799999</v>
      </c>
      <c r="E1511">
        <f t="shared" si="142"/>
        <v>1</v>
      </c>
      <c r="F1511" s="2">
        <f t="shared" si="143"/>
        <v>-2.1475461520883754E-2</v>
      </c>
      <c r="G1511" s="2">
        <f t="shared" si="139"/>
        <v>17.730746634098647</v>
      </c>
      <c r="H1511" s="2">
        <f t="shared" si="140"/>
        <v>66.346064648305543</v>
      </c>
    </row>
    <row r="1512" spans="1:8" x14ac:dyDescent="0.3">
      <c r="A1512" s="1">
        <v>44062</v>
      </c>
      <c r="B1512">
        <v>11758.283203000001</v>
      </c>
      <c r="C1512" s="2">
        <f t="shared" si="138"/>
        <v>-1.9426708435084983E-2</v>
      </c>
      <c r="D1512">
        <f t="shared" si="141"/>
        <v>11952.4841796</v>
      </c>
      <c r="E1512">
        <f t="shared" si="142"/>
        <v>0</v>
      </c>
      <c r="F1512" s="2">
        <f t="shared" si="143"/>
        <v>-1.9426708435084983E-2</v>
      </c>
      <c r="G1512" s="2">
        <f t="shared" si="139"/>
        <v>17.386296588901647</v>
      </c>
      <c r="H1512" s="2">
        <f t="shared" si="140"/>
        <v>65.057178994567607</v>
      </c>
    </row>
    <row r="1513" spans="1:8" x14ac:dyDescent="0.3">
      <c r="A1513" s="1">
        <v>44063</v>
      </c>
      <c r="B1513">
        <v>11878.372069999999</v>
      </c>
      <c r="C1513" s="2">
        <f t="shared" si="138"/>
        <v>1.0213129325661985E-2</v>
      </c>
      <c r="D1513">
        <f t="shared" si="141"/>
        <v>11955.0189452</v>
      </c>
      <c r="E1513">
        <f t="shared" si="142"/>
        <v>0</v>
      </c>
      <c r="F1513" s="2">
        <f t="shared" si="143"/>
        <v>0</v>
      </c>
      <c r="G1513" s="2">
        <f t="shared" si="139"/>
        <v>17.563865084458417</v>
      </c>
      <c r="H1513" s="2">
        <f t="shared" si="140"/>
        <v>65.057178994567607</v>
      </c>
    </row>
    <row r="1514" spans="1:8" x14ac:dyDescent="0.3">
      <c r="A1514" s="1">
        <v>44064</v>
      </c>
      <c r="B1514">
        <v>11592.489258</v>
      </c>
      <c r="C1514" s="2">
        <f t="shared" si="138"/>
        <v>-2.406750776245048E-2</v>
      </c>
      <c r="D1514">
        <f t="shared" si="141"/>
        <v>11894.956054599999</v>
      </c>
      <c r="E1514">
        <f t="shared" si="142"/>
        <v>0</v>
      </c>
      <c r="F1514" s="2">
        <f t="shared" si="143"/>
        <v>0</v>
      </c>
      <c r="G1514" s="2">
        <f t="shared" si="139"/>
        <v>17.141146625199582</v>
      </c>
      <c r="H1514" s="2">
        <f t="shared" si="140"/>
        <v>65.057178994567607</v>
      </c>
    </row>
    <row r="1515" spans="1:8" x14ac:dyDescent="0.3">
      <c r="A1515" s="1">
        <v>44065</v>
      </c>
      <c r="B1515">
        <v>11681.825194999999</v>
      </c>
      <c r="C1515" s="2">
        <f t="shared" si="138"/>
        <v>7.7063635783272133E-3</v>
      </c>
      <c r="D1515">
        <f t="shared" si="141"/>
        <v>11780.4406248</v>
      </c>
      <c r="E1515">
        <f t="shared" si="142"/>
        <v>0</v>
      </c>
      <c r="F1515" s="2">
        <f t="shared" si="143"/>
        <v>0</v>
      </c>
      <c r="G1515" s="2">
        <f t="shared" si="139"/>
        <v>17.273242533242787</v>
      </c>
      <c r="H1515" s="2">
        <f t="shared" si="140"/>
        <v>65.057178994567607</v>
      </c>
    </row>
    <row r="1516" spans="1:8" x14ac:dyDescent="0.3">
      <c r="A1516" s="1">
        <v>44066</v>
      </c>
      <c r="B1516">
        <v>11664.847656</v>
      </c>
      <c r="C1516" s="2">
        <f t="shared" si="138"/>
        <v>-1.4533293142638959E-3</v>
      </c>
      <c r="D1516">
        <f t="shared" si="141"/>
        <v>11715.163476399999</v>
      </c>
      <c r="E1516">
        <f t="shared" si="142"/>
        <v>0</v>
      </c>
      <c r="F1516" s="2">
        <f t="shared" si="143"/>
        <v>0</v>
      </c>
      <c r="G1516" s="2">
        <f t="shared" si="139"/>
        <v>17.248138823516836</v>
      </c>
      <c r="H1516" s="2">
        <f t="shared" si="140"/>
        <v>65.057178994567607</v>
      </c>
    </row>
    <row r="1517" spans="1:8" x14ac:dyDescent="0.3">
      <c r="A1517" s="1">
        <v>44067</v>
      </c>
      <c r="B1517">
        <v>11774.595703000001</v>
      </c>
      <c r="C1517" s="2">
        <f t="shared" si="138"/>
        <v>9.4084423763176606E-3</v>
      </c>
      <c r="D1517">
        <f t="shared" si="141"/>
        <v>11718.425976399998</v>
      </c>
      <c r="E1517">
        <f t="shared" si="142"/>
        <v>1</v>
      </c>
      <c r="F1517" s="2">
        <f t="shared" si="143"/>
        <v>0</v>
      </c>
      <c r="G1517" s="2">
        <f t="shared" si="139"/>
        <v>17.410416943736621</v>
      </c>
      <c r="H1517" s="2">
        <f t="shared" si="140"/>
        <v>65.057178994567607</v>
      </c>
    </row>
    <row r="1518" spans="1:8" x14ac:dyDescent="0.3">
      <c r="A1518" s="1">
        <v>44068</v>
      </c>
      <c r="B1518">
        <v>11366.134765999999</v>
      </c>
      <c r="C1518" s="2">
        <f t="shared" si="138"/>
        <v>-3.4690018010209211E-2</v>
      </c>
      <c r="D1518">
        <f t="shared" si="141"/>
        <v>11615.9785156</v>
      </c>
      <c r="E1518">
        <f t="shared" si="142"/>
        <v>0</v>
      </c>
      <c r="F1518" s="2">
        <f t="shared" si="143"/>
        <v>-3.4690018010209211E-2</v>
      </c>
      <c r="G1518" s="2">
        <f t="shared" si="139"/>
        <v>16.806449266393145</v>
      </c>
      <c r="H1518" s="2">
        <f t="shared" si="140"/>
        <v>62.800344283552654</v>
      </c>
    </row>
    <row r="1519" spans="1:8" x14ac:dyDescent="0.3">
      <c r="A1519" s="1">
        <v>44069</v>
      </c>
      <c r="B1519">
        <v>11488.363281</v>
      </c>
      <c r="C1519" s="2">
        <f t="shared" si="138"/>
        <v>1.0753745007988869E-2</v>
      </c>
      <c r="D1519">
        <f t="shared" si="141"/>
        <v>11595.153320199999</v>
      </c>
      <c r="E1519">
        <f t="shared" si="142"/>
        <v>0</v>
      </c>
      <c r="F1519" s="2">
        <f t="shared" si="143"/>
        <v>0</v>
      </c>
      <c r="G1519" s="2">
        <f t="shared" si="139"/>
        <v>16.987181536293637</v>
      </c>
      <c r="H1519" s="2">
        <f t="shared" si="140"/>
        <v>62.800344283552654</v>
      </c>
    </row>
    <row r="1520" spans="1:8" x14ac:dyDescent="0.3">
      <c r="A1520" s="1">
        <v>44070</v>
      </c>
      <c r="B1520">
        <v>11323.397461</v>
      </c>
      <c r="C1520" s="2">
        <f t="shared" si="138"/>
        <v>-1.4359384010151133E-2</v>
      </c>
      <c r="D1520">
        <f t="shared" si="141"/>
        <v>11523.4677734</v>
      </c>
      <c r="E1520">
        <f t="shared" si="142"/>
        <v>0</v>
      </c>
      <c r="F1520" s="2">
        <f t="shared" si="143"/>
        <v>0</v>
      </c>
      <c r="G1520" s="2">
        <f t="shared" si="139"/>
        <v>16.743256073363849</v>
      </c>
      <c r="H1520" s="2">
        <f t="shared" si="140"/>
        <v>62.800344283552654</v>
      </c>
    </row>
    <row r="1521" spans="1:8" x14ac:dyDescent="0.3">
      <c r="A1521" s="1">
        <v>44071</v>
      </c>
      <c r="B1521">
        <v>11542.5</v>
      </c>
      <c r="C1521" s="2">
        <f t="shared" si="138"/>
        <v>1.9349540608693871E-2</v>
      </c>
      <c r="D1521">
        <f t="shared" si="141"/>
        <v>11498.998242199999</v>
      </c>
      <c r="E1521">
        <f t="shared" si="142"/>
        <v>1</v>
      </c>
      <c r="F1521" s="2">
        <f t="shared" si="143"/>
        <v>0</v>
      </c>
      <c r="G1521" s="2">
        <f t="shared" si="139"/>
        <v>17.067230386677164</v>
      </c>
      <c r="H1521" s="2">
        <f t="shared" si="140"/>
        <v>62.800344283552654</v>
      </c>
    </row>
    <row r="1522" spans="1:8" x14ac:dyDescent="0.3">
      <c r="A1522" s="1">
        <v>44072</v>
      </c>
      <c r="B1522">
        <v>11506.865234000001</v>
      </c>
      <c r="C1522" s="2">
        <f t="shared" si="138"/>
        <v>-3.0872658436212896E-3</v>
      </c>
      <c r="D1522">
        <f t="shared" si="141"/>
        <v>11445.4521484</v>
      </c>
      <c r="E1522">
        <f t="shared" si="142"/>
        <v>1</v>
      </c>
      <c r="F1522" s="2">
        <f t="shared" si="143"/>
        <v>-3.0872658436212896E-3</v>
      </c>
      <c r="G1522" s="2">
        <f t="shared" si="139"/>
        <v>17.01453930925916</v>
      </c>
      <c r="H1522" s="2">
        <f t="shared" si="140"/>
        <v>62.606462925678386</v>
      </c>
    </row>
    <row r="1523" spans="1:8" x14ac:dyDescent="0.3">
      <c r="A1523" s="1">
        <v>44073</v>
      </c>
      <c r="B1523">
        <v>11711.505859000001</v>
      </c>
      <c r="C1523" s="2">
        <f t="shared" si="138"/>
        <v>1.7784220188425959E-2</v>
      </c>
      <c r="D1523">
        <f t="shared" si="141"/>
        <v>11514.526366999999</v>
      </c>
      <c r="E1523">
        <f t="shared" si="142"/>
        <v>1</v>
      </c>
      <c r="F1523" s="2">
        <f t="shared" si="143"/>
        <v>1.7784220188425959E-2</v>
      </c>
      <c r="G1523" s="2">
        <f t="shared" si="139"/>
        <v>17.317129622739653</v>
      </c>
      <c r="H1523" s="2">
        <f t="shared" si="140"/>
        <v>63.719870047567177</v>
      </c>
    </row>
    <row r="1524" spans="1:8" x14ac:dyDescent="0.3">
      <c r="A1524" s="1">
        <v>44074</v>
      </c>
      <c r="B1524">
        <v>11680.820313</v>
      </c>
      <c r="C1524" s="2">
        <f t="shared" si="138"/>
        <v>-2.6201195960141588E-3</v>
      </c>
      <c r="D1524">
        <f t="shared" si="141"/>
        <v>11553.017773399999</v>
      </c>
      <c r="E1524">
        <f t="shared" si="142"/>
        <v>1</v>
      </c>
      <c r="F1524" s="2">
        <f t="shared" si="143"/>
        <v>-2.6201195960141588E-3</v>
      </c>
      <c r="G1524" s="2">
        <f t="shared" si="139"/>
        <v>17.271756672068395</v>
      </c>
      <c r="H1524" s="2">
        <f t="shared" si="140"/>
        <v>63.552916367400073</v>
      </c>
    </row>
    <row r="1525" spans="1:8" x14ac:dyDescent="0.3">
      <c r="A1525" s="1">
        <v>44075</v>
      </c>
      <c r="B1525">
        <v>11970.478515999999</v>
      </c>
      <c r="C1525" s="2">
        <f t="shared" si="138"/>
        <v>2.4797762078201613E-2</v>
      </c>
      <c r="D1525">
        <f t="shared" si="141"/>
        <v>11682.433984400001</v>
      </c>
      <c r="E1525">
        <f t="shared" si="142"/>
        <v>1</v>
      </c>
      <c r="F1525" s="2">
        <f t="shared" si="143"/>
        <v>2.4797762078201613E-2</v>
      </c>
      <c r="G1525" s="2">
        <f t="shared" si="139"/>
        <v>17.700057584694939</v>
      </c>
      <c r="H1525" s="2">
        <f t="shared" si="140"/>
        <v>65.128886466854709</v>
      </c>
    </row>
    <row r="1526" spans="1:8" x14ac:dyDescent="0.3">
      <c r="A1526" s="1">
        <v>44076</v>
      </c>
      <c r="B1526">
        <v>11414.034180000001</v>
      </c>
      <c r="C1526" s="2">
        <f t="shared" si="138"/>
        <v>-4.6484719491893589E-2</v>
      </c>
      <c r="D1526">
        <f t="shared" si="141"/>
        <v>11656.7408204</v>
      </c>
      <c r="E1526">
        <f t="shared" si="142"/>
        <v>0</v>
      </c>
      <c r="F1526" s="2">
        <f t="shared" si="143"/>
        <v>-4.6484719491893589E-2</v>
      </c>
      <c r="G1526" s="2">
        <f t="shared" si="139"/>
        <v>16.877275372880032</v>
      </c>
      <c r="H1526" s="2">
        <f t="shared" si="140"/>
        <v>62.101388448623581</v>
      </c>
    </row>
    <row r="1527" spans="1:8" x14ac:dyDescent="0.3">
      <c r="A1527" s="1">
        <v>44077</v>
      </c>
      <c r="B1527">
        <v>10245.296875</v>
      </c>
      <c r="C1527" s="2">
        <f t="shared" si="138"/>
        <v>-0.10239476127098823</v>
      </c>
      <c r="D1527">
        <f t="shared" si="141"/>
        <v>11404.427148600002</v>
      </c>
      <c r="E1527">
        <f t="shared" si="142"/>
        <v>0</v>
      </c>
      <c r="F1527" s="2">
        <f t="shared" si="143"/>
        <v>0</v>
      </c>
      <c r="G1527" s="2">
        <f t="shared" si="139"/>
        <v>15.149130790169252</v>
      </c>
      <c r="H1527" s="2">
        <f t="shared" si="140"/>
        <v>62.101388448623581</v>
      </c>
    </row>
    <row r="1528" spans="1:8" x14ac:dyDescent="0.3">
      <c r="A1528" s="1">
        <v>44078</v>
      </c>
      <c r="B1528">
        <v>10511.813477</v>
      </c>
      <c r="C1528" s="2">
        <f t="shared" si="138"/>
        <v>2.6013555805331379E-2</v>
      </c>
      <c r="D1528">
        <f t="shared" si="141"/>
        <v>11164.488672199999</v>
      </c>
      <c r="E1528">
        <f t="shared" si="142"/>
        <v>0</v>
      </c>
      <c r="F1528" s="2">
        <f t="shared" si="143"/>
        <v>0</v>
      </c>
      <c r="G1528" s="2">
        <f t="shared" si="139"/>
        <v>15.543213549381584</v>
      </c>
      <c r="H1528" s="2">
        <f t="shared" si="140"/>
        <v>62.101388448623581</v>
      </c>
    </row>
    <row r="1529" spans="1:8" x14ac:dyDescent="0.3">
      <c r="A1529" s="1">
        <v>44079</v>
      </c>
      <c r="B1529">
        <v>10169.567383</v>
      </c>
      <c r="C1529" s="2">
        <f t="shared" si="138"/>
        <v>-3.2558235051339146E-2</v>
      </c>
      <c r="D1529">
        <f t="shared" si="141"/>
        <v>10862.238086199999</v>
      </c>
      <c r="E1529">
        <f t="shared" si="142"/>
        <v>0</v>
      </c>
      <c r="F1529" s="2">
        <f t="shared" si="143"/>
        <v>0</v>
      </c>
      <c r="G1529" s="2">
        <f t="shared" si="139"/>
        <v>15.037153949187658</v>
      </c>
      <c r="H1529" s="2">
        <f t="shared" si="140"/>
        <v>62.101388448623581</v>
      </c>
    </row>
    <row r="1530" spans="1:8" x14ac:dyDescent="0.3">
      <c r="A1530" s="1">
        <v>44080</v>
      </c>
      <c r="B1530">
        <v>10280.351563</v>
      </c>
      <c r="C1530" s="2">
        <f t="shared" si="138"/>
        <v>1.0893696440341438E-2</v>
      </c>
      <c r="D1530">
        <f t="shared" si="141"/>
        <v>10524.212695599999</v>
      </c>
      <c r="E1530">
        <f t="shared" si="142"/>
        <v>0</v>
      </c>
      <c r="F1530" s="2">
        <f t="shared" si="143"/>
        <v>0</v>
      </c>
      <c r="G1530" s="2">
        <f t="shared" si="139"/>
        <v>15.20096413963679</v>
      </c>
      <c r="H1530" s="2">
        <f t="shared" si="140"/>
        <v>62.101388448623581</v>
      </c>
    </row>
    <row r="1531" spans="1:8" x14ac:dyDescent="0.3">
      <c r="A1531" s="1">
        <v>44081</v>
      </c>
      <c r="B1531">
        <v>10369.563477</v>
      </c>
      <c r="C1531" s="2">
        <f t="shared" si="138"/>
        <v>8.6779049775964623E-3</v>
      </c>
      <c r="D1531">
        <f t="shared" si="141"/>
        <v>10315.318555</v>
      </c>
      <c r="E1531">
        <f t="shared" si="142"/>
        <v>1</v>
      </c>
      <c r="F1531" s="2">
        <f t="shared" si="143"/>
        <v>0</v>
      </c>
      <c r="G1531" s="2">
        <f t="shared" si="139"/>
        <v>15.33287666200841</v>
      </c>
      <c r="H1531" s="2">
        <f t="shared" si="140"/>
        <v>62.101388448623581</v>
      </c>
    </row>
    <row r="1532" spans="1:8" x14ac:dyDescent="0.3">
      <c r="A1532" s="1">
        <v>44082</v>
      </c>
      <c r="B1532">
        <v>10131.516602</v>
      </c>
      <c r="C1532" s="2">
        <f t="shared" si="138"/>
        <v>-2.2956306263807069E-2</v>
      </c>
      <c r="D1532">
        <f t="shared" si="141"/>
        <v>10292.562500399999</v>
      </c>
      <c r="E1532">
        <f t="shared" si="142"/>
        <v>0</v>
      </c>
      <c r="F1532" s="2">
        <f t="shared" si="143"/>
        <v>-2.2956306263807069E-2</v>
      </c>
      <c r="G1532" s="2">
        <f t="shared" si="139"/>
        <v>14.980890449450165</v>
      </c>
      <c r="H1532" s="2">
        <f t="shared" si="140"/>
        <v>60.675769955989324</v>
      </c>
    </row>
    <row r="1533" spans="1:8" x14ac:dyDescent="0.3">
      <c r="A1533" s="1">
        <v>44083</v>
      </c>
      <c r="B1533">
        <v>10242.347656</v>
      </c>
      <c r="C1533" s="2">
        <f t="shared" si="138"/>
        <v>1.0939236281577225E-2</v>
      </c>
      <c r="D1533">
        <f t="shared" si="141"/>
        <v>10238.669336199999</v>
      </c>
      <c r="E1533">
        <f t="shared" si="142"/>
        <v>1</v>
      </c>
      <c r="F1533" s="2">
        <f t="shared" si="143"/>
        <v>0</v>
      </c>
      <c r="G1533" s="2">
        <f t="shared" si="139"/>
        <v>15.144769949785124</v>
      </c>
      <c r="H1533" s="2">
        <f t="shared" si="140"/>
        <v>60.675769955989324</v>
      </c>
    </row>
    <row r="1534" spans="1:8" x14ac:dyDescent="0.3">
      <c r="A1534" s="1">
        <v>44084</v>
      </c>
      <c r="B1534">
        <v>10363.138671999999</v>
      </c>
      <c r="C1534" s="2">
        <f t="shared" si="138"/>
        <v>1.1793293886996681E-2</v>
      </c>
      <c r="D1534">
        <f t="shared" si="141"/>
        <v>10277.383594000001</v>
      </c>
      <c r="E1534">
        <f t="shared" si="142"/>
        <v>1</v>
      </c>
      <c r="F1534" s="2">
        <f t="shared" si="143"/>
        <v>1.1793293886996681E-2</v>
      </c>
      <c r="G1534" s="2">
        <f t="shared" si="139"/>
        <v>15.323376672653895</v>
      </c>
      <c r="H1534" s="2">
        <f t="shared" si="140"/>
        <v>61.391337142900113</v>
      </c>
    </row>
    <row r="1535" spans="1:8" x14ac:dyDescent="0.3">
      <c r="A1535" s="1">
        <v>44085</v>
      </c>
      <c r="B1535">
        <v>10400.915039</v>
      </c>
      <c r="C1535" s="2">
        <f t="shared" si="138"/>
        <v>3.6452630998817792E-3</v>
      </c>
      <c r="D1535">
        <f t="shared" si="141"/>
        <v>10301.4962892</v>
      </c>
      <c r="E1535">
        <f t="shared" si="142"/>
        <v>1</v>
      </c>
      <c r="F1535" s="2">
        <f t="shared" si="143"/>
        <v>3.6452630998817792E-3</v>
      </c>
      <c r="G1535" s="2">
        <f t="shared" si="139"/>
        <v>15.37923441220431</v>
      </c>
      <c r="H1535" s="2">
        <f t="shared" si="140"/>
        <v>61.615124718839532</v>
      </c>
    </row>
    <row r="1536" spans="1:8" x14ac:dyDescent="0.3">
      <c r="A1536" s="1">
        <v>44086</v>
      </c>
      <c r="B1536">
        <v>10442.170898</v>
      </c>
      <c r="C1536" s="2">
        <f t="shared" si="138"/>
        <v>3.9665605233101253E-3</v>
      </c>
      <c r="D1536">
        <f t="shared" si="141"/>
        <v>10316.017773399999</v>
      </c>
      <c r="E1536">
        <f t="shared" si="142"/>
        <v>1</v>
      </c>
      <c r="F1536" s="2">
        <f t="shared" si="143"/>
        <v>3.9665605233101253E-3</v>
      </c>
      <c r="G1536" s="2">
        <f t="shared" si="139"/>
        <v>15.440237076302493</v>
      </c>
      <c r="H1536" s="2">
        <f t="shared" si="140"/>
        <v>61.859524840188108</v>
      </c>
    </row>
    <row r="1537" spans="1:8" x14ac:dyDescent="0.3">
      <c r="A1537" s="1">
        <v>44087</v>
      </c>
      <c r="B1537">
        <v>10323.755859000001</v>
      </c>
      <c r="C1537" s="2">
        <f t="shared" si="138"/>
        <v>-1.1340078625095118E-2</v>
      </c>
      <c r="D1537">
        <f t="shared" si="141"/>
        <v>10354.465624799999</v>
      </c>
      <c r="E1537">
        <f t="shared" si="142"/>
        <v>0</v>
      </c>
      <c r="F1537" s="2">
        <f t="shared" si="143"/>
        <v>-1.1340078625095118E-2</v>
      </c>
      <c r="G1537" s="2">
        <f t="shared" si="139"/>
        <v>15.265143573867114</v>
      </c>
      <c r="H1537" s="2">
        <f t="shared" si="140"/>
        <v>61.158032964789349</v>
      </c>
    </row>
    <row r="1538" spans="1:8" x14ac:dyDescent="0.3">
      <c r="A1538" s="1">
        <v>44088</v>
      </c>
      <c r="B1538">
        <v>10680.837890999999</v>
      </c>
      <c r="C1538" s="2">
        <f t="shared" si="138"/>
        <v>3.4588384002582018E-2</v>
      </c>
      <c r="D1538">
        <f t="shared" si="141"/>
        <v>10442.163671799999</v>
      </c>
      <c r="E1538">
        <f t="shared" si="142"/>
        <v>1</v>
      </c>
      <c r="F1538" s="2">
        <f t="shared" si="143"/>
        <v>0</v>
      </c>
      <c r="G1538" s="2">
        <f t="shared" si="139"/>
        <v>15.793140221654577</v>
      </c>
      <c r="H1538" s="2">
        <f t="shared" si="140"/>
        <v>61.158032964789349</v>
      </c>
    </row>
    <row r="1539" spans="1:8" x14ac:dyDescent="0.3">
      <c r="A1539" s="1">
        <v>44089</v>
      </c>
      <c r="B1539">
        <v>10796.951171999999</v>
      </c>
      <c r="C1539" s="2">
        <f t="shared" si="138"/>
        <v>1.0871177166525525E-2</v>
      </c>
      <c r="D1539">
        <f t="shared" si="141"/>
        <v>10528.9261718</v>
      </c>
      <c r="E1539">
        <f t="shared" si="142"/>
        <v>1</v>
      </c>
      <c r="F1539" s="2">
        <f t="shared" si="143"/>
        <v>1.0871177166525525E-2</v>
      </c>
      <c r="G1539" s="2">
        <f t="shared" si="139"/>
        <v>15.964830247019965</v>
      </c>
      <c r="H1539" s="2">
        <f t="shared" si="140"/>
        <v>61.822892776305785</v>
      </c>
    </row>
    <row r="1540" spans="1:8" x14ac:dyDescent="0.3">
      <c r="A1540" s="1">
        <v>44090</v>
      </c>
      <c r="B1540">
        <v>10974.905273</v>
      </c>
      <c r="C1540" s="2">
        <f t="shared" ref="C1540:C1603" si="144">B1540/B1539-1</f>
        <v>1.648188439172471E-2</v>
      </c>
      <c r="D1540">
        <f t="shared" si="141"/>
        <v>10643.724218599998</v>
      </c>
      <c r="E1540">
        <f t="shared" si="142"/>
        <v>1</v>
      </c>
      <c r="F1540" s="2">
        <f t="shared" si="143"/>
        <v>1.648188439172471E-2</v>
      </c>
      <c r="G1540" s="2">
        <f t="shared" ref="G1540:G1603" si="145">(1+C1540)*G1539</f>
        <v>16.227960733484856</v>
      </c>
      <c r="H1540" s="2">
        <f t="shared" ref="H1540:H1603" si="146">(1+F1540)*H1539</f>
        <v>62.84185054780685</v>
      </c>
    </row>
    <row r="1541" spans="1:8" x14ac:dyDescent="0.3">
      <c r="A1541" s="1">
        <v>44091</v>
      </c>
      <c r="B1541">
        <v>10948.990234000001</v>
      </c>
      <c r="C1541" s="2">
        <f t="shared" si="144"/>
        <v>-2.3612995607128484E-3</v>
      </c>
      <c r="D1541">
        <f t="shared" si="141"/>
        <v>10745.088085799998</v>
      </c>
      <c r="E1541">
        <f t="shared" si="142"/>
        <v>1</v>
      </c>
      <c r="F1541" s="2">
        <f t="shared" si="143"/>
        <v>-2.3612995607128484E-3</v>
      </c>
      <c r="G1541" s="2">
        <f t="shared" si="145"/>
        <v>16.189641656933613</v>
      </c>
      <c r="H1541" s="2">
        <f t="shared" si="146"/>
        <v>62.693462113713927</v>
      </c>
    </row>
    <row r="1542" spans="1:8" x14ac:dyDescent="0.3">
      <c r="A1542" s="1">
        <v>44092</v>
      </c>
      <c r="B1542">
        <v>10944.585938</v>
      </c>
      <c r="C1542" s="2">
        <f t="shared" si="144"/>
        <v>-4.0225590724562998E-4</v>
      </c>
      <c r="D1542">
        <f t="shared" si="141"/>
        <v>10869.2541016</v>
      </c>
      <c r="E1542">
        <f t="shared" si="142"/>
        <v>1</v>
      </c>
      <c r="F1542" s="2">
        <f t="shared" si="143"/>
        <v>-4.0225590724562998E-4</v>
      </c>
      <c r="G1542" s="2">
        <f t="shared" si="145"/>
        <v>16.183129277940921</v>
      </c>
      <c r="H1542" s="2">
        <f t="shared" si="146"/>
        <v>62.668243298233008</v>
      </c>
    </row>
    <row r="1543" spans="1:8" x14ac:dyDescent="0.3">
      <c r="A1543" s="1">
        <v>44093</v>
      </c>
      <c r="B1543">
        <v>11094.346680000001</v>
      </c>
      <c r="C1543" s="2">
        <f t="shared" si="144"/>
        <v>1.368354571368724E-2</v>
      </c>
      <c r="D1543">
        <f t="shared" ref="D1543:D1606" si="147">AVERAGE(B1539:B1543)</f>
        <v>10951.955859400001</v>
      </c>
      <c r="E1543">
        <f t="shared" ref="E1543:E1606" si="148">IF(B1543&gt;D1543,1,0)</f>
        <v>1</v>
      </c>
      <c r="F1543" s="2">
        <f t="shared" si="143"/>
        <v>1.368354571368724E-2</v>
      </c>
      <c r="G1543" s="2">
        <f t="shared" si="145"/>
        <v>16.404571867206137</v>
      </c>
      <c r="H1543" s="2">
        <f t="shared" si="146"/>
        <v>63.525767070200857</v>
      </c>
    </row>
    <row r="1544" spans="1:8" x14ac:dyDescent="0.3">
      <c r="A1544" s="1">
        <v>44094</v>
      </c>
      <c r="B1544">
        <v>10938.271484000001</v>
      </c>
      <c r="C1544" s="2">
        <f t="shared" si="144"/>
        <v>-1.4067993411577828E-2</v>
      </c>
      <c r="D1544">
        <f t="shared" si="147"/>
        <v>10980.219921799999</v>
      </c>
      <c r="E1544">
        <f t="shared" si="148"/>
        <v>0</v>
      </c>
      <c r="F1544" s="2">
        <f t="shared" ref="F1544:F1607" si="149">E1543*C1544</f>
        <v>-1.4067993411577828E-2</v>
      </c>
      <c r="G1544" s="2">
        <f t="shared" si="145"/>
        <v>16.173792458258525</v>
      </c>
      <c r="H1544" s="2">
        <f t="shared" si="146"/>
        <v>62.632086997591841</v>
      </c>
    </row>
    <row r="1545" spans="1:8" x14ac:dyDescent="0.3">
      <c r="A1545" s="1">
        <v>44095</v>
      </c>
      <c r="B1545">
        <v>10462.259765999999</v>
      </c>
      <c r="C1545" s="2">
        <f t="shared" si="144"/>
        <v>-4.3518001788151794E-2</v>
      </c>
      <c r="D1545">
        <f t="shared" si="147"/>
        <v>10877.690820400001</v>
      </c>
      <c r="E1545">
        <f t="shared" si="148"/>
        <v>0</v>
      </c>
      <c r="F1545" s="2">
        <f t="shared" si="149"/>
        <v>0</v>
      </c>
      <c r="G1545" s="2">
        <f t="shared" si="145"/>
        <v>15.469941329138834</v>
      </c>
      <c r="H1545" s="2">
        <f t="shared" si="146"/>
        <v>62.632086997591841</v>
      </c>
    </row>
    <row r="1546" spans="1:8" x14ac:dyDescent="0.3">
      <c r="A1546" s="1">
        <v>44096</v>
      </c>
      <c r="B1546">
        <v>10538.459961</v>
      </c>
      <c r="C1546" s="2">
        <f t="shared" si="144"/>
        <v>7.2833399957850098E-3</v>
      </c>
      <c r="D1546">
        <f t="shared" si="147"/>
        <v>10795.584765800002</v>
      </c>
      <c r="E1546">
        <f t="shared" si="148"/>
        <v>0</v>
      </c>
      <c r="F1546" s="2">
        <f t="shared" si="149"/>
        <v>0</v>
      </c>
      <c r="G1546" s="2">
        <f t="shared" si="145"/>
        <v>15.582614171553798</v>
      </c>
      <c r="H1546" s="2">
        <f t="shared" si="146"/>
        <v>62.632086997591841</v>
      </c>
    </row>
    <row r="1547" spans="1:8" x14ac:dyDescent="0.3">
      <c r="A1547" s="1">
        <v>44097</v>
      </c>
      <c r="B1547">
        <v>10225.864258</v>
      </c>
      <c r="C1547" s="2">
        <f t="shared" si="144"/>
        <v>-2.9662370418147788E-2</v>
      </c>
      <c r="D1547">
        <f t="shared" si="147"/>
        <v>10651.8404298</v>
      </c>
      <c r="E1547">
        <f t="shared" si="148"/>
        <v>0</v>
      </c>
      <c r="F1547" s="2">
        <f t="shared" si="149"/>
        <v>0</v>
      </c>
      <c r="G1547" s="2">
        <f t="shared" si="145"/>
        <v>15.120396897914091</v>
      </c>
      <c r="H1547" s="2">
        <f t="shared" si="146"/>
        <v>62.632086997591841</v>
      </c>
    </row>
    <row r="1548" spans="1:8" x14ac:dyDescent="0.3">
      <c r="A1548" s="1">
        <v>44098</v>
      </c>
      <c r="B1548">
        <v>10745.548828000001</v>
      </c>
      <c r="C1548" s="2">
        <f t="shared" si="144"/>
        <v>5.0820601260518128E-2</v>
      </c>
      <c r="D1548">
        <f t="shared" si="147"/>
        <v>10582.080859400001</v>
      </c>
      <c r="E1548">
        <f t="shared" si="148"/>
        <v>1</v>
      </c>
      <c r="F1548" s="2">
        <f t="shared" si="149"/>
        <v>0</v>
      </c>
      <c r="G1548" s="2">
        <f t="shared" si="145"/>
        <v>15.888824559563758</v>
      </c>
      <c r="H1548" s="2">
        <f t="shared" si="146"/>
        <v>62.632086997591841</v>
      </c>
    </row>
    <row r="1549" spans="1:8" x14ac:dyDescent="0.3">
      <c r="A1549" s="1">
        <v>44099</v>
      </c>
      <c r="B1549">
        <v>10702.290039</v>
      </c>
      <c r="C1549" s="2">
        <f t="shared" si="144"/>
        <v>-4.0257403034902328E-3</v>
      </c>
      <c r="D1549">
        <f t="shared" si="147"/>
        <v>10534.8845704</v>
      </c>
      <c r="E1549">
        <f t="shared" si="148"/>
        <v>1</v>
      </c>
      <c r="F1549" s="2">
        <f t="shared" si="149"/>
        <v>-4.0257403034902328E-3</v>
      </c>
      <c r="G1549" s="2">
        <f t="shared" si="145"/>
        <v>15.824860278159237</v>
      </c>
      <c r="H1549" s="2">
        <f t="shared" si="146"/>
        <v>62.379946480673929</v>
      </c>
    </row>
    <row r="1550" spans="1:8" x14ac:dyDescent="0.3">
      <c r="A1550" s="1">
        <v>44100</v>
      </c>
      <c r="B1550">
        <v>10754.4375</v>
      </c>
      <c r="C1550" s="2">
        <f t="shared" si="144"/>
        <v>4.8725516510925715E-3</v>
      </c>
      <c r="D1550">
        <f t="shared" si="147"/>
        <v>10593.320117200001</v>
      </c>
      <c r="E1550">
        <f t="shared" si="148"/>
        <v>1</v>
      </c>
      <c r="F1550" s="2">
        <f t="shared" si="149"/>
        <v>4.8725516510925715E-3</v>
      </c>
      <c r="G1550" s="2">
        <f t="shared" si="145"/>
        <v>15.901967727235892</v>
      </c>
      <c r="H1550" s="2">
        <f t="shared" si="146"/>
        <v>62.683895991893401</v>
      </c>
    </row>
    <row r="1551" spans="1:8" x14ac:dyDescent="0.3">
      <c r="A1551" s="1">
        <v>44101</v>
      </c>
      <c r="B1551">
        <v>10774.426758</v>
      </c>
      <c r="C1551" s="2">
        <f t="shared" si="144"/>
        <v>1.8586986069704103E-3</v>
      </c>
      <c r="D1551">
        <f t="shared" si="147"/>
        <v>10640.513476600001</v>
      </c>
      <c r="E1551">
        <f t="shared" si="148"/>
        <v>1</v>
      </c>
      <c r="F1551" s="2">
        <f t="shared" si="149"/>
        <v>1.8586986069704103E-3</v>
      </c>
      <c r="G1551" s="2">
        <f t="shared" si="145"/>
        <v>15.931524692498593</v>
      </c>
      <c r="H1551" s="2">
        <f t="shared" si="146"/>
        <v>62.800406462053012</v>
      </c>
    </row>
    <row r="1552" spans="1:8" x14ac:dyDescent="0.3">
      <c r="A1552" s="1">
        <v>44102</v>
      </c>
      <c r="B1552">
        <v>10721.327148</v>
      </c>
      <c r="C1552" s="2">
        <f t="shared" si="144"/>
        <v>-4.9283002421054434E-3</v>
      </c>
      <c r="D1552">
        <f t="shared" si="147"/>
        <v>10739.606054599999</v>
      </c>
      <c r="E1552">
        <f t="shared" si="148"/>
        <v>0</v>
      </c>
      <c r="F1552" s="2">
        <f t="shared" si="149"/>
        <v>-4.9283002421054434E-3</v>
      </c>
      <c r="G1552" s="2">
        <f t="shared" si="145"/>
        <v>15.853009355499443</v>
      </c>
      <c r="H1552" s="2">
        <f t="shared" si="146"/>
        <v>62.490907203681758</v>
      </c>
    </row>
    <row r="1553" spans="1:8" x14ac:dyDescent="0.3">
      <c r="A1553" s="1">
        <v>44103</v>
      </c>
      <c r="B1553">
        <v>10848.830078000001</v>
      </c>
      <c r="C1553" s="2">
        <f t="shared" si="144"/>
        <v>1.1892457737733064E-2</v>
      </c>
      <c r="D1553">
        <f t="shared" si="147"/>
        <v>10760.262304599999</v>
      </c>
      <c r="E1553">
        <f t="shared" si="148"/>
        <v>1</v>
      </c>
      <c r="F1553" s="2">
        <f t="shared" si="149"/>
        <v>0</v>
      </c>
      <c r="G1553" s="2">
        <f t="shared" si="145"/>
        <v>16.041540599275606</v>
      </c>
      <c r="H1553" s="2">
        <f t="shared" si="146"/>
        <v>62.490907203681758</v>
      </c>
    </row>
    <row r="1554" spans="1:8" x14ac:dyDescent="0.3">
      <c r="A1554" s="1">
        <v>44104</v>
      </c>
      <c r="B1554">
        <v>10787.618164</v>
      </c>
      <c r="C1554" s="2">
        <f t="shared" si="144"/>
        <v>-5.6422594473233278E-3</v>
      </c>
      <c r="D1554">
        <f t="shared" si="147"/>
        <v>10777.3279296</v>
      </c>
      <c r="E1554">
        <f t="shared" si="148"/>
        <v>1</v>
      </c>
      <c r="F1554" s="2">
        <f t="shared" si="149"/>
        <v>-5.6422594473233278E-3</v>
      </c>
      <c r="G1554" s="2">
        <f t="shared" si="145"/>
        <v>15.951030065279722</v>
      </c>
      <c r="H1554" s="2">
        <f t="shared" si="146"/>
        <v>62.13831729213998</v>
      </c>
    </row>
    <row r="1555" spans="1:8" x14ac:dyDescent="0.3">
      <c r="A1555" s="1">
        <v>44105</v>
      </c>
      <c r="B1555">
        <v>10623.330078000001</v>
      </c>
      <c r="C1555" s="2">
        <f t="shared" si="144"/>
        <v>-1.5229319716585255E-2</v>
      </c>
      <c r="D1555">
        <f t="shared" si="147"/>
        <v>10751.106445199999</v>
      </c>
      <c r="E1555">
        <f t="shared" si="148"/>
        <v>0</v>
      </c>
      <c r="F1555" s="2">
        <f t="shared" si="149"/>
        <v>-1.5229319716585255E-2</v>
      </c>
      <c r="G1555" s="2">
        <f t="shared" si="145"/>
        <v>15.708106728606714</v>
      </c>
      <c r="H1555" s="2">
        <f t="shared" si="146"/>
        <v>61.191992991447364</v>
      </c>
    </row>
    <row r="1556" spans="1:8" x14ac:dyDescent="0.3">
      <c r="A1556" s="1">
        <v>44106</v>
      </c>
      <c r="B1556">
        <v>10585.164063</v>
      </c>
      <c r="C1556" s="2">
        <f t="shared" si="144"/>
        <v>-3.5926601846852924E-3</v>
      </c>
      <c r="D1556">
        <f t="shared" si="147"/>
        <v>10713.2539062</v>
      </c>
      <c r="E1556">
        <f t="shared" si="148"/>
        <v>0</v>
      </c>
      <c r="F1556" s="2">
        <f t="shared" si="149"/>
        <v>0</v>
      </c>
      <c r="G1556" s="2">
        <f t="shared" si="145"/>
        <v>15.651672838986061</v>
      </c>
      <c r="H1556" s="2">
        <f t="shared" si="146"/>
        <v>61.191992991447364</v>
      </c>
    </row>
    <row r="1557" spans="1:8" x14ac:dyDescent="0.3">
      <c r="A1557" s="1">
        <v>44107</v>
      </c>
      <c r="B1557">
        <v>10565.493164</v>
      </c>
      <c r="C1557" s="2">
        <f t="shared" si="144"/>
        <v>-1.8583461609971152E-3</v>
      </c>
      <c r="D1557">
        <f t="shared" si="147"/>
        <v>10682.087109399999</v>
      </c>
      <c r="E1557">
        <f t="shared" si="148"/>
        <v>0</v>
      </c>
      <c r="F1557" s="2">
        <f t="shared" si="149"/>
        <v>0</v>
      </c>
      <c r="G1557" s="2">
        <f t="shared" si="145"/>
        <v>15.622586612852547</v>
      </c>
      <c r="H1557" s="2">
        <f t="shared" si="146"/>
        <v>61.191992991447364</v>
      </c>
    </row>
    <row r="1558" spans="1:8" x14ac:dyDescent="0.3">
      <c r="A1558" s="1">
        <v>44108</v>
      </c>
      <c r="B1558">
        <v>10684.428711</v>
      </c>
      <c r="C1558" s="2">
        <f t="shared" si="144"/>
        <v>1.1256980166837183E-2</v>
      </c>
      <c r="D1558">
        <f t="shared" si="147"/>
        <v>10649.206836000001</v>
      </c>
      <c r="E1558">
        <f t="shared" si="148"/>
        <v>1</v>
      </c>
      <c r="F1558" s="2">
        <f t="shared" si="149"/>
        <v>0</v>
      </c>
      <c r="G1558" s="2">
        <f t="shared" si="145"/>
        <v>15.798449760508126</v>
      </c>
      <c r="H1558" s="2">
        <f t="shared" si="146"/>
        <v>61.191992991447364</v>
      </c>
    </row>
    <row r="1559" spans="1:8" x14ac:dyDescent="0.3">
      <c r="A1559" s="1">
        <v>44109</v>
      </c>
      <c r="B1559">
        <v>10804.000977</v>
      </c>
      <c r="C1559" s="2">
        <f t="shared" si="144"/>
        <v>1.1191264337502282E-2</v>
      </c>
      <c r="D1559">
        <f t="shared" si="147"/>
        <v>10652.483398600001</v>
      </c>
      <c r="E1559">
        <f t="shared" si="148"/>
        <v>1</v>
      </c>
      <c r="F1559" s="2">
        <f t="shared" si="149"/>
        <v>1.1191264337502282E-2</v>
      </c>
      <c r="G1559" s="2">
        <f t="shared" si="145"/>
        <v>15.975254387900721</v>
      </c>
      <c r="H1559" s="2">
        <f t="shared" si="146"/>
        <v>61.876808760353242</v>
      </c>
    </row>
    <row r="1560" spans="1:8" x14ac:dyDescent="0.3">
      <c r="A1560" s="1">
        <v>44110</v>
      </c>
      <c r="B1560">
        <v>10621.664063</v>
      </c>
      <c r="C1560" s="2">
        <f t="shared" si="144"/>
        <v>-1.6876795400904365E-2</v>
      </c>
      <c r="D1560">
        <f t="shared" si="147"/>
        <v>10652.150195599999</v>
      </c>
      <c r="E1560">
        <f t="shared" si="148"/>
        <v>0</v>
      </c>
      <c r="F1560" s="2">
        <f t="shared" si="149"/>
        <v>-1.6876795400904365E-2</v>
      </c>
      <c r="G1560" s="2">
        <f t="shared" si="145"/>
        <v>15.70564328811872</v>
      </c>
      <c r="H1560" s="2">
        <f t="shared" si="146"/>
        <v>60.832526518843871</v>
      </c>
    </row>
    <row r="1561" spans="1:8" x14ac:dyDescent="0.3">
      <c r="A1561" s="1">
        <v>44111</v>
      </c>
      <c r="B1561">
        <v>10679.136719</v>
      </c>
      <c r="C1561" s="2">
        <f t="shared" si="144"/>
        <v>5.4108900130067639E-3</v>
      </c>
      <c r="D1561">
        <f t="shared" si="147"/>
        <v>10670.9447268</v>
      </c>
      <c r="E1561">
        <f t="shared" si="148"/>
        <v>1</v>
      </c>
      <c r="F1561" s="2">
        <f t="shared" si="149"/>
        <v>0</v>
      </c>
      <c r="G1561" s="2">
        <f t="shared" si="145"/>
        <v>15.790624796534248</v>
      </c>
      <c r="H1561" s="2">
        <f t="shared" si="146"/>
        <v>60.832526518843871</v>
      </c>
    </row>
    <row r="1562" spans="1:8" x14ac:dyDescent="0.3">
      <c r="A1562" s="1">
        <v>44112</v>
      </c>
      <c r="B1562">
        <v>10923.627930000001</v>
      </c>
      <c r="C1562" s="2">
        <f t="shared" si="144"/>
        <v>2.2894286067619118E-2</v>
      </c>
      <c r="D1562">
        <f t="shared" si="147"/>
        <v>10742.571680000001</v>
      </c>
      <c r="E1562">
        <f t="shared" si="148"/>
        <v>1</v>
      </c>
      <c r="F1562" s="2">
        <f t="shared" si="149"/>
        <v>2.2894286067619118E-2</v>
      </c>
      <c r="G1562" s="2">
        <f t="shared" si="145"/>
        <v>16.152139877812541</v>
      </c>
      <c r="H1562" s="2">
        <f t="shared" si="146"/>
        <v>62.225243783182307</v>
      </c>
    </row>
    <row r="1563" spans="1:8" x14ac:dyDescent="0.3">
      <c r="A1563" s="1">
        <v>44113</v>
      </c>
      <c r="B1563">
        <v>11059.143099999999</v>
      </c>
      <c r="C1563" s="2">
        <f t="shared" si="144"/>
        <v>1.2405692583855599E-2</v>
      </c>
      <c r="D1563">
        <f t="shared" si="147"/>
        <v>10817.514557800001</v>
      </c>
      <c r="E1563">
        <f t="shared" si="148"/>
        <v>1</v>
      </c>
      <c r="F1563" s="2">
        <f t="shared" si="149"/>
        <v>1.2405692583855599E-2</v>
      </c>
      <c r="G1563" s="2">
        <f t="shared" si="145"/>
        <v>16.352518359708117</v>
      </c>
      <c r="H1563" s="2">
        <f t="shared" si="146"/>
        <v>62.997191028511942</v>
      </c>
    </row>
    <row r="1564" spans="1:8" x14ac:dyDescent="0.3">
      <c r="A1564" s="1">
        <v>44114</v>
      </c>
      <c r="B1564">
        <v>11296.361328000001</v>
      </c>
      <c r="C1564" s="2">
        <f t="shared" si="144"/>
        <v>2.1449964599879578E-2</v>
      </c>
      <c r="D1564">
        <f t="shared" si="147"/>
        <v>10915.986628000001</v>
      </c>
      <c r="E1564">
        <f t="shared" si="148"/>
        <v>1</v>
      </c>
      <c r="F1564" s="2">
        <f t="shared" si="149"/>
        <v>2.1449964599879578E-2</v>
      </c>
      <c r="G1564" s="2">
        <f t="shared" si="145"/>
        <v>16.703279299642737</v>
      </c>
      <c r="H1564" s="2">
        <f t="shared" si="146"/>
        <v>64.348478545965378</v>
      </c>
    </row>
    <row r="1565" spans="1:8" x14ac:dyDescent="0.3">
      <c r="A1565" s="1">
        <v>44115</v>
      </c>
      <c r="B1565">
        <v>11384.181640999999</v>
      </c>
      <c r="C1565" s="2">
        <f t="shared" si="144"/>
        <v>7.7742124609914143E-3</v>
      </c>
      <c r="D1565">
        <f t="shared" si="147"/>
        <v>11068.490143599998</v>
      </c>
      <c r="E1565">
        <f t="shared" si="148"/>
        <v>1</v>
      </c>
      <c r="F1565" s="2">
        <f t="shared" si="149"/>
        <v>7.7742124609914143E-3</v>
      </c>
      <c r="G1565" s="2">
        <f t="shared" si="145"/>
        <v>16.83313414171344</v>
      </c>
      <c r="H1565" s="2">
        <f t="shared" si="146"/>
        <v>64.84873728972326</v>
      </c>
    </row>
    <row r="1566" spans="1:8" x14ac:dyDescent="0.3">
      <c r="A1566" s="1">
        <v>44116</v>
      </c>
      <c r="B1566">
        <v>11548.72</v>
      </c>
      <c r="C1566" s="2">
        <f t="shared" si="144"/>
        <v>1.4453244351567474E-2</v>
      </c>
      <c r="D1566">
        <f t="shared" si="147"/>
        <v>11242.406799800001</v>
      </c>
      <c r="E1566">
        <f t="shared" si="148"/>
        <v>1</v>
      </c>
      <c r="F1566" s="2">
        <f t="shared" si="149"/>
        <v>1.4453244351567474E-2</v>
      </c>
      <c r="G1566" s="2">
        <f t="shared" si="145"/>
        <v>17.076427542666337</v>
      </c>
      <c r="H1566" s="2">
        <f t="shared" si="146"/>
        <v>65.786011935662231</v>
      </c>
    </row>
    <row r="1567" spans="1:8" x14ac:dyDescent="0.3">
      <c r="A1567" s="1">
        <v>44117</v>
      </c>
      <c r="B1567">
        <v>11429.05</v>
      </c>
      <c r="C1567" s="2">
        <f t="shared" si="144"/>
        <v>-1.036218732465588E-2</v>
      </c>
      <c r="D1567">
        <f t="shared" si="147"/>
        <v>11343.491213800002</v>
      </c>
      <c r="E1567">
        <f t="shared" si="148"/>
        <v>1</v>
      </c>
      <c r="F1567" s="2">
        <f t="shared" si="149"/>
        <v>-1.036218732465588E-2</v>
      </c>
      <c r="G1567" s="2">
        <f t="shared" si="145"/>
        <v>16.899478401633317</v>
      </c>
      <c r="H1567" s="2">
        <f t="shared" si="146"/>
        <v>65.104324956642856</v>
      </c>
    </row>
    <row r="1568" spans="1:8" x14ac:dyDescent="0.3">
      <c r="A1568" s="1">
        <v>44118</v>
      </c>
      <c r="B1568">
        <v>11429.506836</v>
      </c>
      <c r="C1568" s="2">
        <f t="shared" si="144"/>
        <v>3.9971476194500255E-5</v>
      </c>
      <c r="D1568">
        <f t="shared" si="147"/>
        <v>11417.563961000002</v>
      </c>
      <c r="E1568">
        <f t="shared" si="148"/>
        <v>1</v>
      </c>
      <c r="F1568" s="2">
        <f t="shared" si="149"/>
        <v>3.9971476194500255E-5</v>
      </c>
      <c r="G1568" s="2">
        <f t="shared" si="145"/>
        <v>16.900153898731947</v>
      </c>
      <c r="H1568" s="2">
        <f t="shared" si="146"/>
        <v>65.106927272618023</v>
      </c>
    </row>
    <row r="1569" spans="1:8" x14ac:dyDescent="0.3">
      <c r="A1569" s="1">
        <v>44119</v>
      </c>
      <c r="B1569">
        <v>11495.349609000001</v>
      </c>
      <c r="C1569" s="2">
        <f t="shared" si="144"/>
        <v>5.7607711290406094E-3</v>
      </c>
      <c r="D1569">
        <f t="shared" si="147"/>
        <v>11457.361617199998</v>
      </c>
      <c r="E1569">
        <f t="shared" si="148"/>
        <v>1</v>
      </c>
      <c r="F1569" s="2">
        <f t="shared" si="149"/>
        <v>5.7607711290406094E-3</v>
      </c>
      <c r="G1569" s="2">
        <f t="shared" si="145"/>
        <v>16.997511817388105</v>
      </c>
      <c r="H1569" s="2">
        <f t="shared" si="146"/>
        <v>65.481993379550673</v>
      </c>
    </row>
    <row r="1570" spans="1:8" x14ac:dyDescent="0.3">
      <c r="A1570" s="1">
        <v>44120</v>
      </c>
      <c r="B1570">
        <v>11322.123046999999</v>
      </c>
      <c r="C1570" s="2">
        <f t="shared" si="144"/>
        <v>-1.5069273044499454E-2</v>
      </c>
      <c r="D1570">
        <f t="shared" si="147"/>
        <v>11444.9498984</v>
      </c>
      <c r="E1570">
        <f t="shared" si="148"/>
        <v>0</v>
      </c>
      <c r="F1570" s="2">
        <f t="shared" si="149"/>
        <v>-1.5069273044499454E-2</v>
      </c>
      <c r="G1570" s="2">
        <f t="shared" si="145"/>
        <v>16.741371670734779</v>
      </c>
      <c r="H1570" s="2">
        <f t="shared" si="146"/>
        <v>64.495227341816118</v>
      </c>
    </row>
    <row r="1571" spans="1:8" x14ac:dyDescent="0.3">
      <c r="A1571" s="1">
        <v>44121</v>
      </c>
      <c r="B1571">
        <v>11358.101563</v>
      </c>
      <c r="C1571" s="2">
        <f t="shared" si="144"/>
        <v>3.1777181585685987E-3</v>
      </c>
      <c r="D1571">
        <f t="shared" si="147"/>
        <v>11406.826211000001</v>
      </c>
      <c r="E1571">
        <f t="shared" si="148"/>
        <v>0</v>
      </c>
      <c r="F1571" s="2">
        <f t="shared" si="149"/>
        <v>0</v>
      </c>
      <c r="G1571" s="2">
        <f t="shared" si="145"/>
        <v>16.794571031492218</v>
      </c>
      <c r="H1571" s="2">
        <f t="shared" si="146"/>
        <v>64.495227341816118</v>
      </c>
    </row>
    <row r="1572" spans="1:8" x14ac:dyDescent="0.3">
      <c r="A1572" s="1">
        <v>44122</v>
      </c>
      <c r="B1572">
        <v>11483.359375</v>
      </c>
      <c r="C1572" s="2">
        <f t="shared" si="144"/>
        <v>1.1028058809408714E-2</v>
      </c>
      <c r="D1572">
        <f t="shared" si="147"/>
        <v>11417.688086</v>
      </c>
      <c r="E1572">
        <f t="shared" si="148"/>
        <v>1</v>
      </c>
      <c r="F1572" s="2">
        <f t="shared" si="149"/>
        <v>0</v>
      </c>
      <c r="G1572" s="2">
        <f t="shared" si="145"/>
        <v>16.979782548506307</v>
      </c>
      <c r="H1572" s="2">
        <f t="shared" si="146"/>
        <v>64.495227341816118</v>
      </c>
    </row>
    <row r="1573" spans="1:8" x14ac:dyDescent="0.3">
      <c r="A1573" s="1">
        <v>44123</v>
      </c>
      <c r="B1573">
        <v>11742.037109000001</v>
      </c>
      <c r="C1573" s="2">
        <f t="shared" si="144"/>
        <v>2.2526311818052092E-2</v>
      </c>
      <c r="D1573">
        <f t="shared" si="147"/>
        <v>11480.194140600001</v>
      </c>
      <c r="E1573">
        <f t="shared" si="148"/>
        <v>1</v>
      </c>
      <c r="F1573" s="2">
        <f t="shared" si="149"/>
        <v>2.2526311818052092E-2</v>
      </c>
      <c r="G1573" s="2">
        <f t="shared" si="145"/>
        <v>17.362274424796681</v>
      </c>
      <c r="H1573" s="2">
        <f t="shared" si="146"/>
        <v>65.94806694369403</v>
      </c>
    </row>
    <row r="1574" spans="1:8" x14ac:dyDescent="0.3">
      <c r="A1574" s="1">
        <v>44124</v>
      </c>
      <c r="B1574">
        <v>11916.334961</v>
      </c>
      <c r="C1574" s="2">
        <f t="shared" si="144"/>
        <v>1.4843919362714786E-2</v>
      </c>
      <c r="D1574">
        <f t="shared" si="147"/>
        <v>11564.391211</v>
      </c>
      <c r="E1574">
        <f t="shared" si="148"/>
        <v>1</v>
      </c>
      <c r="F1574" s="2">
        <f t="shared" si="149"/>
        <v>1.4843919362714786E-2</v>
      </c>
      <c r="G1574" s="2">
        <f t="shared" si="145"/>
        <v>17.619998626311688</v>
      </c>
      <c r="H1574" s="2">
        <f t="shared" si="146"/>
        <v>66.926994731533142</v>
      </c>
    </row>
    <row r="1575" spans="1:8" x14ac:dyDescent="0.3">
      <c r="A1575" s="1">
        <v>44125</v>
      </c>
      <c r="B1575">
        <v>12823.689453000001</v>
      </c>
      <c r="C1575" s="2">
        <f t="shared" si="144"/>
        <v>7.6143755187279227E-2</v>
      </c>
      <c r="D1575">
        <f t="shared" si="147"/>
        <v>11864.7044922</v>
      </c>
      <c r="E1575">
        <f t="shared" si="148"/>
        <v>1</v>
      </c>
      <c r="F1575" s="2">
        <f t="shared" si="149"/>
        <v>7.6143755187279227E-2</v>
      </c>
      <c r="G1575" s="2">
        <f t="shared" si="145"/>
        <v>18.961651488113763</v>
      </c>
      <c r="H1575" s="2">
        <f t="shared" si="146"/>
        <v>72.023067433791326</v>
      </c>
    </row>
    <row r="1576" spans="1:8" x14ac:dyDescent="0.3">
      <c r="A1576" s="1">
        <v>44126</v>
      </c>
      <c r="B1576">
        <v>12965.891602</v>
      </c>
      <c r="C1576" s="2">
        <f t="shared" si="144"/>
        <v>1.1089020014184214E-2</v>
      </c>
      <c r="D1576">
        <f t="shared" si="147"/>
        <v>12186.262500000001</v>
      </c>
      <c r="E1576">
        <f t="shared" si="148"/>
        <v>1</v>
      </c>
      <c r="F1576" s="2">
        <f t="shared" si="149"/>
        <v>1.1089020014184214E-2</v>
      </c>
      <c r="G1576" s="2">
        <f t="shared" si="145"/>
        <v>19.171917620967442</v>
      </c>
      <c r="H1576" s="2">
        <f t="shared" si="146"/>
        <v>72.821732670047581</v>
      </c>
    </row>
    <row r="1577" spans="1:8" x14ac:dyDescent="0.3">
      <c r="A1577" s="1">
        <v>44127</v>
      </c>
      <c r="B1577">
        <v>12931.539063</v>
      </c>
      <c r="C1577" s="2">
        <f t="shared" si="144"/>
        <v>-2.649454434332954E-3</v>
      </c>
      <c r="D1577">
        <f t="shared" si="147"/>
        <v>12475.898437600001</v>
      </c>
      <c r="E1577">
        <f t="shared" si="148"/>
        <v>1</v>
      </c>
      <c r="F1577" s="2">
        <f t="shared" si="149"/>
        <v>-2.649454434332954E-3</v>
      </c>
      <c r="G1577" s="2">
        <f t="shared" si="145"/>
        <v>19.121122498811904</v>
      </c>
      <c r="H1577" s="2">
        <f t="shared" si="146"/>
        <v>72.628794807509109</v>
      </c>
    </row>
    <row r="1578" spans="1:8" x14ac:dyDescent="0.3">
      <c r="A1578" s="1">
        <v>44128</v>
      </c>
      <c r="B1578">
        <v>13108.0625</v>
      </c>
      <c r="C1578" s="2">
        <f t="shared" si="144"/>
        <v>1.3650613135838707E-2</v>
      </c>
      <c r="D1578">
        <f t="shared" si="147"/>
        <v>12749.103515800001</v>
      </c>
      <c r="E1578">
        <f t="shared" si="148"/>
        <v>1</v>
      </c>
      <c r="F1578" s="2">
        <f t="shared" si="149"/>
        <v>1.3650613135838707E-2</v>
      </c>
      <c r="G1578" s="2">
        <f t="shared" si="145"/>
        <v>19.382137544766167</v>
      </c>
      <c r="H1578" s="2">
        <f t="shared" si="146"/>
        <v>73.62022238794863</v>
      </c>
    </row>
    <row r="1579" spans="1:8" x14ac:dyDescent="0.3">
      <c r="A1579" s="1">
        <v>44129</v>
      </c>
      <c r="B1579">
        <v>13031.173828000001</v>
      </c>
      <c r="C1579" s="2">
        <f t="shared" si="144"/>
        <v>-5.8657541494022691E-3</v>
      </c>
      <c r="D1579">
        <f t="shared" si="147"/>
        <v>12972.071289200001</v>
      </c>
      <c r="E1579">
        <f t="shared" si="148"/>
        <v>1</v>
      </c>
      <c r="F1579" s="2">
        <f t="shared" si="149"/>
        <v>-5.8657541494022691E-3</v>
      </c>
      <c r="G1579" s="2">
        <f t="shared" si="145"/>
        <v>19.268446691038669</v>
      </c>
      <c r="H1579" s="2">
        <f t="shared" si="146"/>
        <v>73.188384262996607</v>
      </c>
    </row>
    <row r="1580" spans="1:8" x14ac:dyDescent="0.3">
      <c r="A1580" s="1">
        <v>44130</v>
      </c>
      <c r="B1580">
        <v>13075.248046999999</v>
      </c>
      <c r="C1580" s="2">
        <f t="shared" si="144"/>
        <v>3.3822140339572204E-3</v>
      </c>
      <c r="D1580">
        <f t="shared" si="147"/>
        <v>13022.383008000001</v>
      </c>
      <c r="E1580">
        <f t="shared" si="148"/>
        <v>1</v>
      </c>
      <c r="F1580" s="2">
        <f t="shared" si="149"/>
        <v>3.3822140339572204E-3</v>
      </c>
      <c r="G1580" s="2">
        <f t="shared" si="145"/>
        <v>19.333616701849657</v>
      </c>
      <c r="H1580" s="2">
        <f t="shared" si="146"/>
        <v>73.435923043373563</v>
      </c>
    </row>
    <row r="1581" spans="1:8" x14ac:dyDescent="0.3">
      <c r="A1581" s="1">
        <v>44131</v>
      </c>
      <c r="B1581">
        <v>13654.21875</v>
      </c>
      <c r="C1581" s="2">
        <f t="shared" si="144"/>
        <v>4.4279902065249122E-2</v>
      </c>
      <c r="D1581">
        <f t="shared" si="147"/>
        <v>13160.0484376</v>
      </c>
      <c r="E1581">
        <f t="shared" si="148"/>
        <v>1</v>
      </c>
      <c r="F1581" s="2">
        <f t="shared" si="149"/>
        <v>4.4279902065249122E-2</v>
      </c>
      <c r="G1581" s="2">
        <f t="shared" si="145"/>
        <v>20.189707355974623</v>
      </c>
      <c r="H1581" s="2">
        <f t="shared" si="146"/>
        <v>76.687658523805311</v>
      </c>
    </row>
    <row r="1582" spans="1:8" x14ac:dyDescent="0.3">
      <c r="A1582" s="1">
        <v>44132</v>
      </c>
      <c r="B1582">
        <v>13271.285156</v>
      </c>
      <c r="C1582" s="2">
        <f t="shared" si="144"/>
        <v>-2.8045075372767125E-2</v>
      </c>
      <c r="D1582">
        <f t="shared" si="147"/>
        <v>13227.997656199999</v>
      </c>
      <c r="E1582">
        <f t="shared" si="148"/>
        <v>1</v>
      </c>
      <c r="F1582" s="2">
        <f t="shared" si="149"/>
        <v>-2.8045075372767125E-2</v>
      </c>
      <c r="G1582" s="2">
        <f t="shared" si="145"/>
        <v>19.623485491422205</v>
      </c>
      <c r="H1582" s="2">
        <f t="shared" si="146"/>
        <v>74.536947360344158</v>
      </c>
    </row>
    <row r="1583" spans="1:8" x14ac:dyDescent="0.3">
      <c r="A1583" s="1">
        <v>44133</v>
      </c>
      <c r="B1583">
        <v>13437.882813</v>
      </c>
      <c r="C1583" s="2">
        <f t="shared" si="144"/>
        <v>1.2553242209906168E-2</v>
      </c>
      <c r="D1583">
        <f t="shared" si="147"/>
        <v>13293.961718800001</v>
      </c>
      <c r="E1583">
        <f t="shared" si="148"/>
        <v>1</v>
      </c>
      <c r="F1583" s="2">
        <f t="shared" si="149"/>
        <v>1.2553242209906168E-2</v>
      </c>
      <c r="G1583" s="2">
        <f t="shared" si="145"/>
        <v>19.869823857798607</v>
      </c>
      <c r="H1583" s="2">
        <f t="shared" si="146"/>
        <v>75.472627714145588</v>
      </c>
    </row>
    <row r="1584" spans="1:8" x14ac:dyDescent="0.3">
      <c r="A1584" s="1">
        <v>44134</v>
      </c>
      <c r="B1584">
        <v>13546.522461</v>
      </c>
      <c r="C1584" s="2">
        <f t="shared" si="144"/>
        <v>8.0845806971094891E-3</v>
      </c>
      <c r="D1584">
        <f t="shared" si="147"/>
        <v>13397.0314454</v>
      </c>
      <c r="E1584">
        <f t="shared" si="148"/>
        <v>1</v>
      </c>
      <c r="F1584" s="2">
        <f t="shared" si="149"/>
        <v>8.0845806971094891E-3</v>
      </c>
      <c r="G1584" s="2">
        <f t="shared" si="145"/>
        <v>20.030463052214333</v>
      </c>
      <c r="H1584" s="2">
        <f t="shared" si="146"/>
        <v>76.082792263323498</v>
      </c>
    </row>
    <row r="1585" spans="1:8" x14ac:dyDescent="0.3">
      <c r="A1585" s="1">
        <v>44135</v>
      </c>
      <c r="B1585">
        <v>13780.995117</v>
      </c>
      <c r="C1585" s="2">
        <f t="shared" si="144"/>
        <v>1.7308697244996951E-2</v>
      </c>
      <c r="D1585">
        <f t="shared" si="147"/>
        <v>13538.180859399999</v>
      </c>
      <c r="E1585">
        <f t="shared" si="148"/>
        <v>1</v>
      </c>
      <c r="F1585" s="2">
        <f t="shared" si="149"/>
        <v>1.7308697244996951E-2</v>
      </c>
      <c r="G1585" s="2">
        <f t="shared" si="145"/>
        <v>20.37716427286221</v>
      </c>
      <c r="H1585" s="2">
        <f t="shared" si="146"/>
        <v>77.399686280163365</v>
      </c>
    </row>
    <row r="1586" spans="1:8" x14ac:dyDescent="0.3">
      <c r="A1586" s="1">
        <v>44136</v>
      </c>
      <c r="B1586">
        <v>13737.109375</v>
      </c>
      <c r="C1586" s="2">
        <f t="shared" si="144"/>
        <v>-3.1845118315051435E-3</v>
      </c>
      <c r="D1586">
        <f t="shared" si="147"/>
        <v>13554.758984399999</v>
      </c>
      <c r="E1586">
        <f t="shared" si="148"/>
        <v>1</v>
      </c>
      <c r="F1586" s="2">
        <f t="shared" si="149"/>
        <v>-3.1845118315051435E-3</v>
      </c>
      <c r="G1586" s="2">
        <f t="shared" si="145"/>
        <v>20.312272952142756</v>
      </c>
      <c r="H1586" s="2">
        <f t="shared" si="146"/>
        <v>77.153206063449403</v>
      </c>
    </row>
    <row r="1587" spans="1:8" x14ac:dyDescent="0.3">
      <c r="A1587" s="1">
        <v>44137</v>
      </c>
      <c r="B1587">
        <v>13550.489258</v>
      </c>
      <c r="C1587" s="2">
        <f t="shared" si="144"/>
        <v>-1.3585108184377415E-2</v>
      </c>
      <c r="D1587">
        <f t="shared" si="147"/>
        <v>13610.5998048</v>
      </c>
      <c r="E1587">
        <f t="shared" si="148"/>
        <v>0</v>
      </c>
      <c r="F1587" s="2">
        <f t="shared" si="149"/>
        <v>-1.3585108184377415E-2</v>
      </c>
      <c r="G1587" s="2">
        <f t="shared" si="145"/>
        <v>20.036328526617293</v>
      </c>
      <c r="H1587" s="2">
        <f t="shared" si="146"/>
        <v>76.105071412305875</v>
      </c>
    </row>
    <row r="1588" spans="1:8" x14ac:dyDescent="0.3">
      <c r="A1588" s="1">
        <v>44138</v>
      </c>
      <c r="B1588">
        <v>13950.300781</v>
      </c>
      <c r="C1588" s="2">
        <f t="shared" si="144"/>
        <v>2.9505320094915133E-2</v>
      </c>
      <c r="D1588">
        <f t="shared" si="147"/>
        <v>13713.0833984</v>
      </c>
      <c r="E1588">
        <f t="shared" si="148"/>
        <v>1</v>
      </c>
      <c r="F1588" s="2">
        <f t="shared" si="149"/>
        <v>0</v>
      </c>
      <c r="G1588" s="2">
        <f t="shared" si="145"/>
        <v>20.627506813322015</v>
      </c>
      <c r="H1588" s="2">
        <f t="shared" si="146"/>
        <v>76.105071412305875</v>
      </c>
    </row>
    <row r="1589" spans="1:8" x14ac:dyDescent="0.3">
      <c r="A1589" s="1">
        <v>44139</v>
      </c>
      <c r="B1589">
        <v>14133.707031</v>
      </c>
      <c r="C1589" s="2">
        <f t="shared" si="144"/>
        <v>1.3147117963921984E-2</v>
      </c>
      <c r="D1589">
        <f t="shared" si="147"/>
        <v>13830.5203124</v>
      </c>
      <c r="E1589">
        <f t="shared" si="148"/>
        <v>1</v>
      </c>
      <c r="F1589" s="2">
        <f t="shared" si="149"/>
        <v>1.3147117963921984E-2</v>
      </c>
      <c r="G1589" s="2">
        <f t="shared" si="145"/>
        <v>20.898699078698364</v>
      </c>
      <c r="H1589" s="2">
        <f t="shared" si="146"/>
        <v>77.105633763816172</v>
      </c>
    </row>
    <row r="1590" spans="1:8" x14ac:dyDescent="0.3">
      <c r="A1590" s="1">
        <v>44140</v>
      </c>
      <c r="B1590">
        <v>15579.848633</v>
      </c>
      <c r="C1590" s="2">
        <f t="shared" si="144"/>
        <v>0.10231863437017075</v>
      </c>
      <c r="D1590">
        <f t="shared" si="147"/>
        <v>14190.2910156</v>
      </c>
      <c r="E1590">
        <f t="shared" si="148"/>
        <v>1</v>
      </c>
      <c r="F1590" s="2">
        <f t="shared" si="149"/>
        <v>0.10231863437017075</v>
      </c>
      <c r="G1590" s="2">
        <f t="shared" si="145"/>
        <v>23.037025428543927</v>
      </c>
      <c r="H1590" s="2">
        <f t="shared" si="146"/>
        <v>84.994976912776366</v>
      </c>
    </row>
    <row r="1591" spans="1:8" x14ac:dyDescent="0.3">
      <c r="A1591" s="1">
        <v>44141</v>
      </c>
      <c r="B1591">
        <v>15565.880859000001</v>
      </c>
      <c r="C1591" s="2">
        <f t="shared" si="144"/>
        <v>-8.9652822238683871E-4</v>
      </c>
      <c r="D1591">
        <f t="shared" si="147"/>
        <v>14556.0453124</v>
      </c>
      <c r="E1591">
        <f t="shared" si="148"/>
        <v>1</v>
      </c>
      <c r="F1591" s="2">
        <f t="shared" si="149"/>
        <v>-8.9652822238683871E-4</v>
      </c>
      <c r="G1591" s="2">
        <f t="shared" si="145"/>
        <v>23.016372085087394</v>
      </c>
      <c r="H1591" s="2">
        <f t="shared" si="146"/>
        <v>84.918776517212947</v>
      </c>
    </row>
    <row r="1592" spans="1:8" x14ac:dyDescent="0.3">
      <c r="A1592" s="1">
        <v>44142</v>
      </c>
      <c r="B1592">
        <v>14833.753906</v>
      </c>
      <c r="C1592" s="2">
        <f t="shared" si="144"/>
        <v>-4.703408433045364E-2</v>
      </c>
      <c r="D1592">
        <f t="shared" si="147"/>
        <v>14812.698241999999</v>
      </c>
      <c r="E1592">
        <f t="shared" si="148"/>
        <v>1</v>
      </c>
      <c r="F1592" s="2">
        <f t="shared" si="149"/>
        <v>-4.703408433045364E-2</v>
      </c>
      <c r="G1592" s="2">
        <f t="shared" si="145"/>
        <v>21.933818099456293</v>
      </c>
      <c r="H1592" s="2">
        <f t="shared" si="146"/>
        <v>80.924699621263414</v>
      </c>
    </row>
    <row r="1593" spans="1:8" x14ac:dyDescent="0.3">
      <c r="A1593" s="1">
        <v>44143</v>
      </c>
      <c r="B1593">
        <v>15479.567383</v>
      </c>
      <c r="C1593" s="2">
        <f t="shared" si="144"/>
        <v>4.3536752806636381E-2</v>
      </c>
      <c r="D1593">
        <f t="shared" si="147"/>
        <v>15118.5515624</v>
      </c>
      <c r="E1593">
        <f t="shared" si="148"/>
        <v>1</v>
      </c>
      <c r="F1593" s="2">
        <f t="shared" si="149"/>
        <v>4.3536752806636381E-2</v>
      </c>
      <c r="G1593" s="2">
        <f t="shared" si="145"/>
        <v>22.888745316158047</v>
      </c>
      <c r="H1593" s="2">
        <f t="shared" si="146"/>
        <v>84.447898264625664</v>
      </c>
    </row>
    <row r="1594" spans="1:8" x14ac:dyDescent="0.3">
      <c r="A1594" s="1">
        <v>44144</v>
      </c>
      <c r="B1594">
        <v>15332.315430000001</v>
      </c>
      <c r="C1594" s="2">
        <f t="shared" si="144"/>
        <v>-9.5126659135005287E-3</v>
      </c>
      <c r="D1594">
        <f t="shared" si="147"/>
        <v>15358.273242200001</v>
      </c>
      <c r="E1594">
        <f t="shared" si="148"/>
        <v>0</v>
      </c>
      <c r="F1594" s="2">
        <f t="shared" si="149"/>
        <v>-9.5126659135005287E-3</v>
      </c>
      <c r="G1594" s="2">
        <f t="shared" si="145"/>
        <v>22.671012328786237</v>
      </c>
      <c r="H1594" s="2">
        <f t="shared" si="146"/>
        <v>83.644573621337003</v>
      </c>
    </row>
    <row r="1595" spans="1:8" x14ac:dyDescent="0.3">
      <c r="A1595" s="1">
        <v>44145</v>
      </c>
      <c r="B1595">
        <v>15290.902344</v>
      </c>
      <c r="C1595" s="2">
        <f t="shared" si="144"/>
        <v>-2.7010327428412806E-3</v>
      </c>
      <c r="D1595">
        <f t="shared" si="147"/>
        <v>15300.4839844</v>
      </c>
      <c r="E1595">
        <f t="shared" si="148"/>
        <v>0</v>
      </c>
      <c r="F1595" s="2">
        <f t="shared" si="149"/>
        <v>0</v>
      </c>
      <c r="G1595" s="2">
        <f t="shared" si="145"/>
        <v>22.609777182172827</v>
      </c>
      <c r="H1595" s="2">
        <f t="shared" si="146"/>
        <v>83.644573621337003</v>
      </c>
    </row>
    <row r="1596" spans="1:8" x14ac:dyDescent="0.3">
      <c r="A1596" s="1">
        <v>44146</v>
      </c>
      <c r="B1596">
        <v>15701.339844</v>
      </c>
      <c r="C1596" s="2">
        <f t="shared" si="144"/>
        <v>2.6841941094539301E-2</v>
      </c>
      <c r="D1596">
        <f t="shared" si="147"/>
        <v>15327.575781400001</v>
      </c>
      <c r="E1596">
        <f t="shared" si="148"/>
        <v>1</v>
      </c>
      <c r="F1596" s="2">
        <f t="shared" si="149"/>
        <v>0</v>
      </c>
      <c r="G1596" s="2">
        <f t="shared" si="145"/>
        <v>23.216667489457368</v>
      </c>
      <c r="H1596" s="2">
        <f t="shared" si="146"/>
        <v>83.644573621337003</v>
      </c>
    </row>
    <row r="1597" spans="1:8" x14ac:dyDescent="0.3">
      <c r="A1597" s="1">
        <v>44147</v>
      </c>
      <c r="B1597">
        <v>16276.34375</v>
      </c>
      <c r="C1597" s="2">
        <f t="shared" si="144"/>
        <v>3.6621327333394849E-2</v>
      </c>
      <c r="D1597">
        <f t="shared" si="147"/>
        <v>15616.093750200002</v>
      </c>
      <c r="E1597">
        <f t="shared" si="148"/>
        <v>1</v>
      </c>
      <c r="F1597" s="2">
        <f t="shared" si="149"/>
        <v>3.6621327333394849E-2</v>
      </c>
      <c r="G1597" s="2">
        <f t="shared" si="145"/>
        <v>24.066892669179374</v>
      </c>
      <c r="H1597" s="2">
        <f t="shared" si="146"/>
        <v>86.707748931586224</v>
      </c>
    </row>
    <row r="1598" spans="1:8" x14ac:dyDescent="0.3">
      <c r="A1598" s="1">
        <v>44148</v>
      </c>
      <c r="B1598">
        <v>16317.808594</v>
      </c>
      <c r="C1598" s="2">
        <f t="shared" si="144"/>
        <v>2.5475527327811776E-3</v>
      </c>
      <c r="D1598">
        <f t="shared" si="147"/>
        <v>15783.741992399999</v>
      </c>
      <c r="E1598">
        <f t="shared" si="148"/>
        <v>1</v>
      </c>
      <c r="F1598" s="2">
        <f t="shared" si="149"/>
        <v>2.5475527327811776E-3</v>
      </c>
      <c r="G1598" s="2">
        <f t="shared" si="145"/>
        <v>24.128204347368293</v>
      </c>
      <c r="H1598" s="2">
        <f t="shared" si="146"/>
        <v>86.928641494330193</v>
      </c>
    </row>
    <row r="1599" spans="1:8" x14ac:dyDescent="0.3">
      <c r="A1599" s="1">
        <v>44149</v>
      </c>
      <c r="B1599">
        <v>16068.138671999999</v>
      </c>
      <c r="C1599" s="2">
        <f t="shared" si="144"/>
        <v>-1.5300456587767797E-2</v>
      </c>
      <c r="D1599">
        <f t="shared" si="147"/>
        <v>15930.906640800002</v>
      </c>
      <c r="E1599">
        <f t="shared" si="148"/>
        <v>1</v>
      </c>
      <c r="F1599" s="2">
        <f t="shared" si="149"/>
        <v>-1.5300456587767797E-2</v>
      </c>
      <c r="G1599" s="2">
        <f t="shared" si="145"/>
        <v>23.759031804210593</v>
      </c>
      <c r="H1599" s="2">
        <f t="shared" si="146"/>
        <v>85.598593588912564</v>
      </c>
    </row>
    <row r="1600" spans="1:8" x14ac:dyDescent="0.3">
      <c r="A1600" s="1">
        <v>44150</v>
      </c>
      <c r="B1600">
        <v>15955.587890999999</v>
      </c>
      <c r="C1600" s="2">
        <f t="shared" si="144"/>
        <v>-7.0045935809682769E-3</v>
      </c>
      <c r="D1600">
        <f t="shared" si="147"/>
        <v>16063.843750200002</v>
      </c>
      <c r="E1600">
        <f t="shared" si="148"/>
        <v>0</v>
      </c>
      <c r="F1600" s="2">
        <f t="shared" si="149"/>
        <v>-7.0045935809682769E-3</v>
      </c>
      <c r="G1600" s="2">
        <f t="shared" si="145"/>
        <v>23.592609442544799</v>
      </c>
      <c r="H1600" s="2">
        <f t="shared" si="146"/>
        <v>84.999010229719758</v>
      </c>
    </row>
    <row r="1601" spans="1:8" x14ac:dyDescent="0.3">
      <c r="A1601" s="1">
        <v>44151</v>
      </c>
      <c r="B1601">
        <v>16716.111327999999</v>
      </c>
      <c r="C1601" s="2">
        <f t="shared" si="144"/>
        <v>4.7665021320147272E-2</v>
      </c>
      <c r="D1601">
        <f t="shared" si="147"/>
        <v>16266.798047</v>
      </c>
      <c r="E1601">
        <f t="shared" si="148"/>
        <v>1</v>
      </c>
      <c r="F1601" s="2">
        <f t="shared" si="149"/>
        <v>0</v>
      </c>
      <c r="G1601" s="2">
        <f t="shared" si="145"/>
        <v>24.717151674621604</v>
      </c>
      <c r="H1601" s="2">
        <f t="shared" si="146"/>
        <v>84.999010229719758</v>
      </c>
    </row>
    <row r="1602" spans="1:8" x14ac:dyDescent="0.3">
      <c r="A1602" s="1">
        <v>44152</v>
      </c>
      <c r="B1602">
        <v>17645.40625</v>
      </c>
      <c r="C1602" s="2">
        <f t="shared" si="144"/>
        <v>5.5592769380723439E-2</v>
      </c>
      <c r="D1602">
        <f t="shared" si="147"/>
        <v>16540.610547</v>
      </c>
      <c r="E1602">
        <f t="shared" si="148"/>
        <v>1</v>
      </c>
      <c r="F1602" s="2">
        <f t="shared" si="149"/>
        <v>5.5592769380723439E-2</v>
      </c>
      <c r="G1602" s="2">
        <f t="shared" si="145"/>
        <v>26.091246587417206</v>
      </c>
      <c r="H1602" s="2">
        <f t="shared" si="146"/>
        <v>89.724340603010319</v>
      </c>
    </row>
    <row r="1603" spans="1:8" x14ac:dyDescent="0.3">
      <c r="A1603" s="1">
        <v>44153</v>
      </c>
      <c r="B1603">
        <v>17804.005859000001</v>
      </c>
      <c r="C1603" s="2">
        <f t="shared" si="144"/>
        <v>8.9881528797333132E-3</v>
      </c>
      <c r="D1603">
        <f t="shared" si="147"/>
        <v>16837.849999999999</v>
      </c>
      <c r="E1603">
        <f t="shared" si="148"/>
        <v>1</v>
      </c>
      <c r="F1603" s="2">
        <f t="shared" si="149"/>
        <v>8.9881528797333132E-3</v>
      </c>
      <c r="G1603" s="2">
        <f t="shared" si="145"/>
        <v>26.325758700567732</v>
      </c>
      <c r="H1603" s="2">
        <f t="shared" si="146"/>
        <v>90.530796693383436</v>
      </c>
    </row>
    <row r="1604" spans="1:8" x14ac:dyDescent="0.3">
      <c r="A1604" s="1">
        <v>44154</v>
      </c>
      <c r="B1604">
        <v>17817.089843999998</v>
      </c>
      <c r="C1604" s="2">
        <f t="shared" ref="C1604:C1667" si="150">B1604/B1603-1</f>
        <v>7.348899513748286E-4</v>
      </c>
      <c r="D1604">
        <f t="shared" si="147"/>
        <v>17187.640234400002</v>
      </c>
      <c r="E1604">
        <f t="shared" si="148"/>
        <v>1</v>
      </c>
      <c r="F1604" s="2">
        <f t="shared" si="149"/>
        <v>7.348899513748286E-4</v>
      </c>
      <c r="G1604" s="2">
        <f t="shared" ref="G1604:G1667" si="151">(1+C1604)*G1603</f>
        <v>26.345105236099098</v>
      </c>
      <c r="H1604" s="2">
        <f t="shared" ref="H1604:H1667" si="152">(1+F1604)*H1603</f>
        <v>90.597326866163357</v>
      </c>
    </row>
    <row r="1605" spans="1:8" x14ac:dyDescent="0.3">
      <c r="A1605" s="1">
        <v>44155</v>
      </c>
      <c r="B1605">
        <v>18621.314452999999</v>
      </c>
      <c r="C1605" s="2">
        <f t="shared" si="150"/>
        <v>4.5137820824921571E-2</v>
      </c>
      <c r="D1605">
        <f t="shared" si="147"/>
        <v>17720.785546799998</v>
      </c>
      <c r="E1605">
        <f t="shared" si="148"/>
        <v>1</v>
      </c>
      <c r="F1605" s="2">
        <f t="shared" si="149"/>
        <v>4.5137820824921571E-2</v>
      </c>
      <c r="G1605" s="2">
        <f t="shared" si="151"/>
        <v>27.534265875859841</v>
      </c>
      <c r="H1605" s="2">
        <f t="shared" si="152"/>
        <v>94.686692773465097</v>
      </c>
    </row>
    <row r="1606" spans="1:8" x14ac:dyDescent="0.3">
      <c r="A1606" s="1">
        <v>44156</v>
      </c>
      <c r="B1606">
        <v>18642.232422000001</v>
      </c>
      <c r="C1606" s="2">
        <f t="shared" si="150"/>
        <v>1.1233347169341545E-3</v>
      </c>
      <c r="D1606">
        <f t="shared" si="147"/>
        <v>18106.0097656</v>
      </c>
      <c r="E1606">
        <f t="shared" si="148"/>
        <v>1</v>
      </c>
      <c r="F1606" s="2">
        <f t="shared" si="149"/>
        <v>1.1233347169341545E-3</v>
      </c>
      <c r="G1606" s="2">
        <f t="shared" si="151"/>
        <v>27.56519607262349</v>
      </c>
      <c r="H1606" s="2">
        <f t="shared" si="152"/>
        <v>94.793057622689204</v>
      </c>
    </row>
    <row r="1607" spans="1:8" x14ac:dyDescent="0.3">
      <c r="A1607" s="1">
        <v>44157</v>
      </c>
      <c r="B1607">
        <v>18370.001952999999</v>
      </c>
      <c r="C1607" s="2">
        <f t="shared" si="150"/>
        <v>-1.460288997785153E-2</v>
      </c>
      <c r="D1607">
        <f t="shared" ref="D1607:D1670" si="153">AVERAGE(B1603:B1607)</f>
        <v>18250.928906199999</v>
      </c>
      <c r="E1607">
        <f t="shared" ref="E1607:E1670" si="154">IF(B1607&gt;D1607,1,0)</f>
        <v>1</v>
      </c>
      <c r="F1607" s="2">
        <f t="shared" si="149"/>
        <v>-1.460288997785153E-2</v>
      </c>
      <c r="G1607" s="2">
        <f t="shared" si="151"/>
        <v>27.162664547157064</v>
      </c>
      <c r="H1607" s="2">
        <f t="shared" si="152"/>
        <v>93.408805031560931</v>
      </c>
    </row>
    <row r="1608" spans="1:8" x14ac:dyDescent="0.3">
      <c r="A1608" s="1">
        <v>44158</v>
      </c>
      <c r="B1608">
        <v>18364.121093999998</v>
      </c>
      <c r="C1608" s="2">
        <f t="shared" si="150"/>
        <v>-3.2013382551876468E-4</v>
      </c>
      <c r="D1608">
        <f t="shared" si="153"/>
        <v>18362.951953200001</v>
      </c>
      <c r="E1608">
        <f t="shared" si="154"/>
        <v>1</v>
      </c>
      <c r="F1608" s="2">
        <f t="shared" ref="F1608:F1671" si="155">E1607*C1608</f>
        <v>-3.2013382551876468E-4</v>
      </c>
      <c r="G1608" s="2">
        <f t="shared" si="151"/>
        <v>27.153968859444301</v>
      </c>
      <c r="H1608" s="2">
        <f t="shared" si="152"/>
        <v>93.378901713469034</v>
      </c>
    </row>
    <row r="1609" spans="1:8" x14ac:dyDescent="0.3">
      <c r="A1609" s="1">
        <v>44159</v>
      </c>
      <c r="B1609">
        <v>19107.464843999998</v>
      </c>
      <c r="C1609" s="2">
        <f t="shared" si="150"/>
        <v>4.0478046632074882E-2</v>
      </c>
      <c r="D1609">
        <f t="shared" si="153"/>
        <v>18621.026953200002</v>
      </c>
      <c r="E1609">
        <f t="shared" si="154"/>
        <v>1</v>
      </c>
      <c r="F1609" s="2">
        <f t="shared" si="155"/>
        <v>4.0478046632074882E-2</v>
      </c>
      <c r="G1609" s="2">
        <f t="shared" si="151"/>
        <v>28.253108477182796</v>
      </c>
      <c r="H1609" s="2">
        <f t="shared" si="152"/>
        <v>97.15869725147877</v>
      </c>
    </row>
    <row r="1610" spans="1:8" x14ac:dyDescent="0.3">
      <c r="A1610" s="1">
        <v>44160</v>
      </c>
      <c r="B1610">
        <v>18732.121093999998</v>
      </c>
      <c r="C1610" s="2">
        <f t="shared" si="150"/>
        <v>-1.9643827847620643E-2</v>
      </c>
      <c r="D1610">
        <f t="shared" si="153"/>
        <v>18643.188281400002</v>
      </c>
      <c r="E1610">
        <f t="shared" si="154"/>
        <v>1</v>
      </c>
      <c r="F1610" s="2">
        <f t="shared" si="155"/>
        <v>-1.9643827847620643E-2</v>
      </c>
      <c r="G1610" s="2">
        <f t="shared" si="151"/>
        <v>27.698109278096865</v>
      </c>
      <c r="H1610" s="2">
        <f t="shared" si="152"/>
        <v>95.250128528771626</v>
      </c>
    </row>
    <row r="1611" spans="1:8" x14ac:dyDescent="0.3">
      <c r="A1611" s="1">
        <v>44161</v>
      </c>
      <c r="B1611">
        <v>17150.623047000001</v>
      </c>
      <c r="C1611" s="2">
        <f t="shared" si="150"/>
        <v>-8.4427067231940933E-2</v>
      </c>
      <c r="D1611">
        <f t="shared" si="153"/>
        <v>18344.8664064</v>
      </c>
      <c r="E1611">
        <f t="shared" si="154"/>
        <v>0</v>
      </c>
      <c r="F1611" s="2">
        <f t="shared" si="155"/>
        <v>-8.4427067231940933E-2</v>
      </c>
      <c r="G1611" s="2">
        <f t="shared" si="151"/>
        <v>25.359639143877335</v>
      </c>
      <c r="H1611" s="2">
        <f t="shared" si="152"/>
        <v>87.208439523622005</v>
      </c>
    </row>
    <row r="1612" spans="1:8" x14ac:dyDescent="0.3">
      <c r="A1612" s="1">
        <v>44162</v>
      </c>
      <c r="B1612">
        <v>17108.402343999998</v>
      </c>
      <c r="C1612" s="2">
        <f t="shared" si="150"/>
        <v>-2.4617591375135639E-3</v>
      </c>
      <c r="D1612">
        <f t="shared" si="153"/>
        <v>18092.5464846</v>
      </c>
      <c r="E1612">
        <f t="shared" si="154"/>
        <v>0</v>
      </c>
      <c r="F1612" s="2">
        <f t="shared" si="155"/>
        <v>0</v>
      </c>
      <c r="G1612" s="2">
        <f t="shared" si="151"/>
        <v>25.297209820490849</v>
      </c>
      <c r="H1612" s="2">
        <f t="shared" si="152"/>
        <v>87.208439523622005</v>
      </c>
    </row>
    <row r="1613" spans="1:8" x14ac:dyDescent="0.3">
      <c r="A1613" s="1">
        <v>44163</v>
      </c>
      <c r="B1613">
        <v>17717.414063</v>
      </c>
      <c r="C1613" s="2">
        <f t="shared" si="150"/>
        <v>3.5597229171640654E-2</v>
      </c>
      <c r="D1613">
        <f t="shared" si="153"/>
        <v>17963.205078399998</v>
      </c>
      <c r="E1613">
        <f t="shared" si="154"/>
        <v>0</v>
      </c>
      <c r="F1613" s="2">
        <f t="shared" si="155"/>
        <v>0</v>
      </c>
      <c r="G1613" s="2">
        <f t="shared" si="151"/>
        <v>26.19772039587394</v>
      </c>
      <c r="H1613" s="2">
        <f t="shared" si="152"/>
        <v>87.208439523622005</v>
      </c>
    </row>
    <row r="1614" spans="1:8" x14ac:dyDescent="0.3">
      <c r="A1614" s="1">
        <v>44164</v>
      </c>
      <c r="B1614">
        <v>18177.484375</v>
      </c>
      <c r="C1614" s="2">
        <f t="shared" si="150"/>
        <v>2.5967125358366205E-2</v>
      </c>
      <c r="D1614">
        <f t="shared" si="153"/>
        <v>17777.208984600002</v>
      </c>
      <c r="E1614">
        <f t="shared" si="154"/>
        <v>1</v>
      </c>
      <c r="F1614" s="2">
        <f t="shared" si="155"/>
        <v>0</v>
      </c>
      <c r="G1614" s="2">
        <f t="shared" si="151"/>
        <v>26.877999885497026</v>
      </c>
      <c r="H1614" s="2">
        <f t="shared" si="152"/>
        <v>87.208439523622005</v>
      </c>
    </row>
    <row r="1615" spans="1:8" x14ac:dyDescent="0.3">
      <c r="A1615" s="1">
        <v>44165</v>
      </c>
      <c r="B1615">
        <v>19625.835938</v>
      </c>
      <c r="C1615" s="2">
        <f t="shared" si="150"/>
        <v>7.9678328041473012E-2</v>
      </c>
      <c r="D1615">
        <f t="shared" si="153"/>
        <v>17955.951953400003</v>
      </c>
      <c r="E1615">
        <f t="shared" si="154"/>
        <v>1</v>
      </c>
      <c r="F1615" s="2">
        <f t="shared" si="155"/>
        <v>7.9678328041473012E-2</v>
      </c>
      <c r="G1615" s="2">
        <f t="shared" si="151"/>
        <v>29.019593977472333</v>
      </c>
      <c r="H1615" s="2">
        <f t="shared" si="152"/>
        <v>94.157062175970125</v>
      </c>
    </row>
    <row r="1616" spans="1:8" x14ac:dyDescent="0.3">
      <c r="A1616" s="1">
        <v>44166</v>
      </c>
      <c r="B1616">
        <v>18802.998047000001</v>
      </c>
      <c r="C1616" s="2">
        <f t="shared" si="150"/>
        <v>-4.1926259528482168E-2</v>
      </c>
      <c r="D1616">
        <f t="shared" si="153"/>
        <v>18286.426953399998</v>
      </c>
      <c r="E1616">
        <f t="shared" si="154"/>
        <v>1</v>
      </c>
      <c r="F1616" s="2">
        <f t="shared" si="155"/>
        <v>-4.1926259528482168E-2</v>
      </c>
      <c r="G1616" s="2">
        <f t="shared" si="151"/>
        <v>27.802910948961649</v>
      </c>
      <c r="H1616" s="2">
        <f t="shared" si="152"/>
        <v>90.209408750740977</v>
      </c>
    </row>
    <row r="1617" spans="1:8" x14ac:dyDescent="0.3">
      <c r="A1617" s="1">
        <v>44167</v>
      </c>
      <c r="B1617">
        <v>19201.091797000001</v>
      </c>
      <c r="C1617" s="2">
        <f t="shared" si="150"/>
        <v>2.1171823185053951E-2</v>
      </c>
      <c r="D1617">
        <f t="shared" si="153"/>
        <v>18704.964844000002</v>
      </c>
      <c r="E1617">
        <f t="shared" si="154"/>
        <v>1</v>
      </c>
      <c r="F1617" s="2">
        <f t="shared" si="155"/>
        <v>2.1171823185053951E-2</v>
      </c>
      <c r="G1617" s="2">
        <f t="shared" si="151"/>
        <v>28.391549263602865</v>
      </c>
      <c r="H1617" s="2">
        <f t="shared" si="152"/>
        <v>92.119306402439918</v>
      </c>
    </row>
    <row r="1618" spans="1:8" x14ac:dyDescent="0.3">
      <c r="A1618" s="1">
        <v>44168</v>
      </c>
      <c r="B1618">
        <v>19445.398438</v>
      </c>
      <c r="C1618" s="2">
        <f t="shared" si="150"/>
        <v>1.2723580699623094E-2</v>
      </c>
      <c r="D1618">
        <f t="shared" si="153"/>
        <v>19050.561719000001</v>
      </c>
      <c r="E1618">
        <f t="shared" si="154"/>
        <v>1</v>
      </c>
      <c r="F1618" s="2">
        <f t="shared" si="155"/>
        <v>1.2723580699623094E-2</v>
      </c>
      <c r="G1618" s="2">
        <f t="shared" si="151"/>
        <v>28.75279143184564</v>
      </c>
      <c r="H1618" s="2">
        <f t="shared" si="152"/>
        <v>93.291393831444665</v>
      </c>
    </row>
    <row r="1619" spans="1:8" x14ac:dyDescent="0.3">
      <c r="A1619" s="1">
        <v>44169</v>
      </c>
      <c r="B1619">
        <v>18699.765625</v>
      </c>
      <c r="C1619" s="2">
        <f t="shared" si="150"/>
        <v>-3.8344949082806723E-2</v>
      </c>
      <c r="D1619">
        <f t="shared" si="153"/>
        <v>19155.017969</v>
      </c>
      <c r="E1619">
        <f t="shared" si="154"/>
        <v>0</v>
      </c>
      <c r="F1619" s="2">
        <f t="shared" si="155"/>
        <v>-3.8344949082806723E-2</v>
      </c>
      <c r="G1619" s="2">
        <f t="shared" si="151"/>
        <v>27.650267108402957</v>
      </c>
      <c r="H1619" s="2">
        <f t="shared" si="152"/>
        <v>89.714140085113854</v>
      </c>
    </row>
    <row r="1620" spans="1:8" x14ac:dyDescent="0.3">
      <c r="A1620" s="1">
        <v>44170</v>
      </c>
      <c r="B1620">
        <v>19154.230468999998</v>
      </c>
      <c r="C1620" s="2">
        <f t="shared" si="150"/>
        <v>2.4303237436966496E-2</v>
      </c>
      <c r="D1620">
        <f t="shared" si="153"/>
        <v>19060.696875200003</v>
      </c>
      <c r="E1620">
        <f t="shared" si="154"/>
        <v>1</v>
      </c>
      <c r="F1620" s="2">
        <f t="shared" si="155"/>
        <v>0</v>
      </c>
      <c r="G1620" s="2">
        <f t="shared" si="151"/>
        <v>28.322258115134019</v>
      </c>
      <c r="H1620" s="2">
        <f t="shared" si="152"/>
        <v>89.714140085113854</v>
      </c>
    </row>
    <row r="1621" spans="1:8" x14ac:dyDescent="0.3">
      <c r="A1621" s="1">
        <v>44171</v>
      </c>
      <c r="B1621">
        <v>19345.121093999998</v>
      </c>
      <c r="C1621" s="2">
        <f t="shared" si="150"/>
        <v>9.9659772450240158E-3</v>
      </c>
      <c r="D1621">
        <f t="shared" si="153"/>
        <v>19169.1214846</v>
      </c>
      <c r="E1621">
        <f t="shared" si="154"/>
        <v>1</v>
      </c>
      <c r="F1621" s="2">
        <f t="shared" si="155"/>
        <v>9.9659772450240158E-3</v>
      </c>
      <c r="G1621" s="2">
        <f t="shared" si="151"/>
        <v>28.604517095037142</v>
      </c>
      <c r="H1621" s="2">
        <f t="shared" si="152"/>
        <v>90.608229163758992</v>
      </c>
    </row>
    <row r="1622" spans="1:8" x14ac:dyDescent="0.3">
      <c r="A1622" s="1">
        <v>44172</v>
      </c>
      <c r="B1622">
        <v>19191.630859000001</v>
      </c>
      <c r="C1622" s="2">
        <f t="shared" si="150"/>
        <v>-7.9343124426138889E-3</v>
      </c>
      <c r="D1622">
        <f t="shared" si="153"/>
        <v>19167.229297000002</v>
      </c>
      <c r="E1622">
        <f t="shared" si="154"/>
        <v>1</v>
      </c>
      <c r="F1622" s="2">
        <f t="shared" si="155"/>
        <v>-7.9343124426138889E-3</v>
      </c>
      <c r="G1622" s="2">
        <f t="shared" si="151"/>
        <v>28.377559919135027</v>
      </c>
      <c r="H1622" s="2">
        <f t="shared" si="152"/>
        <v>89.889315163701767</v>
      </c>
    </row>
    <row r="1623" spans="1:8" x14ac:dyDescent="0.3">
      <c r="A1623" s="1">
        <v>44173</v>
      </c>
      <c r="B1623">
        <v>18321.144531000002</v>
      </c>
      <c r="C1623" s="2">
        <f t="shared" si="150"/>
        <v>-4.5357600633079143E-2</v>
      </c>
      <c r="D1623">
        <f t="shared" si="153"/>
        <v>18942.378515600001</v>
      </c>
      <c r="E1623">
        <f t="shared" si="154"/>
        <v>0</v>
      </c>
      <c r="F1623" s="2">
        <f t="shared" si="155"/>
        <v>-4.5357600633079143E-2</v>
      </c>
      <c r="G1623" s="2">
        <f t="shared" si="151"/>
        <v>27.090421889381627</v>
      </c>
      <c r="H1623" s="2">
        <f t="shared" si="152"/>
        <v>85.812151505325602</v>
      </c>
    </row>
    <row r="1624" spans="1:8" x14ac:dyDescent="0.3">
      <c r="A1624" s="1">
        <v>44174</v>
      </c>
      <c r="B1624">
        <v>18553.916015999999</v>
      </c>
      <c r="C1624" s="2">
        <f t="shared" si="150"/>
        <v>1.2705073343324269E-2</v>
      </c>
      <c r="D1624">
        <f t="shared" si="153"/>
        <v>18913.208593800002</v>
      </c>
      <c r="E1624">
        <f t="shared" si="154"/>
        <v>0</v>
      </c>
      <c r="F1624" s="2">
        <f t="shared" si="155"/>
        <v>0</v>
      </c>
      <c r="G1624" s="2">
        <f t="shared" si="151"/>
        <v>27.434607686387817</v>
      </c>
      <c r="H1624" s="2">
        <f t="shared" si="152"/>
        <v>85.812151505325602</v>
      </c>
    </row>
    <row r="1625" spans="1:8" x14ac:dyDescent="0.3">
      <c r="A1625" s="1">
        <v>44175</v>
      </c>
      <c r="B1625">
        <v>18264.992188</v>
      </c>
      <c r="C1625" s="2">
        <f t="shared" si="150"/>
        <v>-1.5572121149564633E-2</v>
      </c>
      <c r="D1625">
        <f t="shared" si="153"/>
        <v>18735.360937600002</v>
      </c>
      <c r="E1625">
        <f t="shared" si="154"/>
        <v>0</v>
      </c>
      <c r="F1625" s="2">
        <f t="shared" si="155"/>
        <v>0</v>
      </c>
      <c r="G1625" s="2">
        <f t="shared" si="151"/>
        <v>27.007392651804608</v>
      </c>
      <c r="H1625" s="2">
        <f t="shared" si="152"/>
        <v>85.812151505325602</v>
      </c>
    </row>
    <row r="1626" spans="1:8" x14ac:dyDescent="0.3">
      <c r="A1626" s="1">
        <v>44176</v>
      </c>
      <c r="B1626">
        <v>18058.904297000001</v>
      </c>
      <c r="C1626" s="2">
        <f t="shared" si="150"/>
        <v>-1.1283218130002659E-2</v>
      </c>
      <c r="D1626">
        <f t="shared" si="153"/>
        <v>18478.117578199999</v>
      </c>
      <c r="E1626">
        <f t="shared" si="154"/>
        <v>0</v>
      </c>
      <c r="F1626" s="2">
        <f t="shared" si="155"/>
        <v>0</v>
      </c>
      <c r="G1626" s="2">
        <f t="shared" si="151"/>
        <v>26.702662349391666</v>
      </c>
      <c r="H1626" s="2">
        <f t="shared" si="152"/>
        <v>85.812151505325602</v>
      </c>
    </row>
    <row r="1627" spans="1:8" x14ac:dyDescent="0.3">
      <c r="A1627" s="1">
        <v>44177</v>
      </c>
      <c r="B1627">
        <v>18803.65625</v>
      </c>
      <c r="C1627" s="2">
        <f t="shared" si="150"/>
        <v>4.124015171417228E-2</v>
      </c>
      <c r="D1627">
        <f t="shared" si="153"/>
        <v>18400.5226564</v>
      </c>
      <c r="E1627">
        <f t="shared" si="154"/>
        <v>1</v>
      </c>
      <c r="F1627" s="2">
        <f t="shared" si="155"/>
        <v>0</v>
      </c>
      <c r="G1627" s="2">
        <f t="shared" si="151"/>
        <v>27.803884195852895</v>
      </c>
      <c r="H1627" s="2">
        <f t="shared" si="152"/>
        <v>85.812151505325602</v>
      </c>
    </row>
    <row r="1628" spans="1:8" x14ac:dyDescent="0.3">
      <c r="A1628" s="1">
        <v>44178</v>
      </c>
      <c r="B1628">
        <v>19142.382813</v>
      </c>
      <c r="C1628" s="2">
        <f t="shared" si="150"/>
        <v>1.8013867010571394E-2</v>
      </c>
      <c r="D1628">
        <f t="shared" si="153"/>
        <v>18564.770312800003</v>
      </c>
      <c r="E1628">
        <f t="shared" si="154"/>
        <v>1</v>
      </c>
      <c r="F1628" s="2">
        <f t="shared" si="155"/>
        <v>1.8013867010571394E-2</v>
      </c>
      <c r="G1628" s="2">
        <f t="shared" si="151"/>
        <v>28.304739668134317</v>
      </c>
      <c r="H1628" s="2">
        <f t="shared" si="152"/>
        <v>87.357960190433545</v>
      </c>
    </row>
    <row r="1629" spans="1:8" x14ac:dyDescent="0.3">
      <c r="A1629" s="1">
        <v>44179</v>
      </c>
      <c r="B1629">
        <v>19246.644531000002</v>
      </c>
      <c r="C1629" s="2">
        <f t="shared" si="150"/>
        <v>5.4466426159440751E-3</v>
      </c>
      <c r="D1629">
        <f t="shared" si="153"/>
        <v>18703.316015800003</v>
      </c>
      <c r="E1629">
        <f t="shared" si="154"/>
        <v>1</v>
      </c>
      <c r="F1629" s="2">
        <f t="shared" si="155"/>
        <v>5.4466426159440751E-3</v>
      </c>
      <c r="G1629" s="2">
        <f t="shared" si="151"/>
        <v>28.45890546944398</v>
      </c>
      <c r="H1629" s="2">
        <f t="shared" si="152"/>
        <v>87.833767779248703</v>
      </c>
    </row>
    <row r="1630" spans="1:8" x14ac:dyDescent="0.3">
      <c r="A1630" s="1">
        <v>44180</v>
      </c>
      <c r="B1630">
        <v>19417.076172000001</v>
      </c>
      <c r="C1630" s="2">
        <f t="shared" si="150"/>
        <v>8.8551352795802618E-3</v>
      </c>
      <c r="D1630">
        <f t="shared" si="153"/>
        <v>18933.732812599999</v>
      </c>
      <c r="E1630">
        <f t="shared" si="154"/>
        <v>1</v>
      </c>
      <c r="F1630" s="2">
        <f t="shared" si="155"/>
        <v>8.8551352795802618E-3</v>
      </c>
      <c r="G1630" s="2">
        <f t="shared" si="151"/>
        <v>28.710912927284692</v>
      </c>
      <c r="H1630" s="2">
        <f t="shared" si="152"/>
        <v>88.611547675049195</v>
      </c>
    </row>
    <row r="1631" spans="1:8" x14ac:dyDescent="0.3">
      <c r="A1631" s="1">
        <v>44181</v>
      </c>
      <c r="B1631">
        <v>21310.597656000002</v>
      </c>
      <c r="C1631" s="2">
        <f t="shared" si="150"/>
        <v>9.7518363075204562E-2</v>
      </c>
      <c r="D1631">
        <f t="shared" si="153"/>
        <v>19584.071484399999</v>
      </c>
      <c r="E1631">
        <f t="shared" si="154"/>
        <v>1</v>
      </c>
      <c r="F1631" s="2">
        <f t="shared" si="155"/>
        <v>9.7518363075204562E-2</v>
      </c>
      <c r="G1631" s="2">
        <f t="shared" si="151"/>
        <v>31.510754158348224</v>
      </c>
      <c r="H1631" s="2">
        <f t="shared" si="152"/>
        <v>97.252800753880436</v>
      </c>
    </row>
    <row r="1632" spans="1:8" x14ac:dyDescent="0.3">
      <c r="A1632" s="1">
        <v>44182</v>
      </c>
      <c r="B1632">
        <v>22805.162109000001</v>
      </c>
      <c r="C1632" s="2">
        <f t="shared" si="150"/>
        <v>7.013245133363033E-2</v>
      </c>
      <c r="D1632">
        <f t="shared" si="153"/>
        <v>20384.372656200001</v>
      </c>
      <c r="E1632">
        <f t="shared" si="154"/>
        <v>1</v>
      </c>
      <c r="F1632" s="2">
        <f t="shared" si="155"/>
        <v>7.013245133363033E-2</v>
      </c>
      <c r="G1632" s="2">
        <f t="shared" si="151"/>
        <v>33.720680590844573</v>
      </c>
      <c r="H1632" s="2">
        <f t="shared" si="152"/>
        <v>104.0733780698112</v>
      </c>
    </row>
    <row r="1633" spans="1:8" x14ac:dyDescent="0.3">
      <c r="A1633" s="1">
        <v>44183</v>
      </c>
      <c r="B1633">
        <v>23137.960938</v>
      </c>
      <c r="C1633" s="2">
        <f t="shared" si="150"/>
        <v>1.4593135861492579E-2</v>
      </c>
      <c r="D1633">
        <f t="shared" si="153"/>
        <v>21183.4882812</v>
      </c>
      <c r="E1633">
        <f t="shared" si="154"/>
        <v>1</v>
      </c>
      <c r="F1633" s="2">
        <f t="shared" si="155"/>
        <v>1.4593135861492579E-2</v>
      </c>
      <c r="G1633" s="2">
        <f t="shared" si="151"/>
        <v>34.212771064048766</v>
      </c>
      <c r="H1633" s="2">
        <f t="shared" si="152"/>
        <v>105.59213501554844</v>
      </c>
    </row>
    <row r="1634" spans="1:8" x14ac:dyDescent="0.3">
      <c r="A1634" s="1">
        <v>44184</v>
      </c>
      <c r="B1634">
        <v>23869.832031000002</v>
      </c>
      <c r="C1634" s="2">
        <f t="shared" si="150"/>
        <v>3.163075151527428E-2</v>
      </c>
      <c r="D1634">
        <f t="shared" si="153"/>
        <v>22108.1257812</v>
      </c>
      <c r="E1634">
        <f t="shared" si="154"/>
        <v>1</v>
      </c>
      <c r="F1634" s="2">
        <f t="shared" si="155"/>
        <v>3.163075151527428E-2</v>
      </c>
      <c r="G1634" s="2">
        <f t="shared" si="151"/>
        <v>35.294946724224658</v>
      </c>
      <c r="H1634" s="2">
        <f t="shared" si="152"/>
        <v>108.93209360019254</v>
      </c>
    </row>
    <row r="1635" spans="1:8" x14ac:dyDescent="0.3">
      <c r="A1635" s="1">
        <v>44185</v>
      </c>
      <c r="B1635">
        <v>23477.294922000001</v>
      </c>
      <c r="C1635" s="2">
        <f t="shared" si="150"/>
        <v>-1.6444904534318017E-2</v>
      </c>
      <c r="D1635">
        <f t="shared" si="153"/>
        <v>22920.169531200001</v>
      </c>
      <c r="E1635">
        <f t="shared" si="154"/>
        <v>1</v>
      </c>
      <c r="F1635" s="2">
        <f t="shared" si="155"/>
        <v>-1.6444904534318017E-2</v>
      </c>
      <c r="G1635" s="2">
        <f t="shared" si="151"/>
        <v>34.714524694800943</v>
      </c>
      <c r="H1635" s="2">
        <f t="shared" si="152"/>
        <v>107.14071572021399</v>
      </c>
    </row>
    <row r="1636" spans="1:8" x14ac:dyDescent="0.3">
      <c r="A1636" s="1">
        <v>44186</v>
      </c>
      <c r="B1636">
        <v>22803.082031000002</v>
      </c>
      <c r="C1636" s="2">
        <f t="shared" si="150"/>
        <v>-2.8717656494923083E-2</v>
      </c>
      <c r="D1636">
        <f t="shared" si="153"/>
        <v>23218.666406199998</v>
      </c>
      <c r="E1636">
        <f t="shared" si="154"/>
        <v>0</v>
      </c>
      <c r="F1636" s="2">
        <f t="shared" si="155"/>
        <v>-2.8717656494923083E-2</v>
      </c>
      <c r="G1636" s="2">
        <f t="shared" si="151"/>
        <v>33.717604899231127</v>
      </c>
      <c r="H1636" s="2">
        <f t="shared" si="152"/>
        <v>104.06388544954068</v>
      </c>
    </row>
    <row r="1637" spans="1:8" x14ac:dyDescent="0.3">
      <c r="A1637" s="1">
        <v>44187</v>
      </c>
      <c r="B1637">
        <v>23783.029297000001</v>
      </c>
      <c r="C1637" s="2">
        <f t="shared" si="150"/>
        <v>4.2974334112722001E-2</v>
      </c>
      <c r="D1637">
        <f t="shared" si="153"/>
        <v>23414.239843800002</v>
      </c>
      <c r="E1637">
        <f t="shared" si="154"/>
        <v>1</v>
      </c>
      <c r="F1637" s="2">
        <f t="shared" si="155"/>
        <v>0</v>
      </c>
      <c r="G1637" s="2">
        <f t="shared" si="151"/>
        <v>35.166596517651435</v>
      </c>
      <c r="H1637" s="2">
        <f t="shared" si="152"/>
        <v>104.06388544954068</v>
      </c>
    </row>
    <row r="1638" spans="1:8" x14ac:dyDescent="0.3">
      <c r="A1638" s="1">
        <v>44188</v>
      </c>
      <c r="B1638">
        <v>23241.345702999999</v>
      </c>
      <c r="C1638" s="2">
        <f t="shared" si="150"/>
        <v>-2.2776055448425536E-2</v>
      </c>
      <c r="D1638">
        <f t="shared" si="153"/>
        <v>23434.9167968</v>
      </c>
      <c r="E1638">
        <f t="shared" si="154"/>
        <v>0</v>
      </c>
      <c r="F1638" s="2">
        <f t="shared" si="155"/>
        <v>-2.2776055448425536E-2</v>
      </c>
      <c r="G1638" s="2">
        <f t="shared" si="151"/>
        <v>34.365640165433</v>
      </c>
      <c r="H1638" s="2">
        <f t="shared" si="152"/>
        <v>101.69372062436334</v>
      </c>
    </row>
    <row r="1639" spans="1:8" x14ac:dyDescent="0.3">
      <c r="A1639" s="1">
        <v>44189</v>
      </c>
      <c r="B1639">
        <v>23735.949218999998</v>
      </c>
      <c r="C1639" s="2">
        <f t="shared" si="150"/>
        <v>2.1281190956862428E-2</v>
      </c>
      <c r="D1639">
        <f t="shared" si="153"/>
        <v>23408.140234400002</v>
      </c>
      <c r="E1639">
        <f t="shared" si="154"/>
        <v>1</v>
      </c>
      <c r="F1639" s="2">
        <f t="shared" si="155"/>
        <v>0</v>
      </c>
      <c r="G1639" s="2">
        <f t="shared" si="151"/>
        <v>35.096981916148401</v>
      </c>
      <c r="H1639" s="2">
        <f t="shared" si="152"/>
        <v>101.69372062436334</v>
      </c>
    </row>
    <row r="1640" spans="1:8" x14ac:dyDescent="0.3">
      <c r="A1640" s="1">
        <v>44190</v>
      </c>
      <c r="B1640">
        <v>24664.791015999999</v>
      </c>
      <c r="C1640" s="2">
        <f t="shared" si="150"/>
        <v>3.9132279414235027E-2</v>
      </c>
      <c r="D1640">
        <f t="shared" si="153"/>
        <v>23645.639453200001</v>
      </c>
      <c r="E1640">
        <f t="shared" si="154"/>
        <v>1</v>
      </c>
      <c r="F1640" s="2">
        <f t="shared" si="155"/>
        <v>3.9132279414235027E-2</v>
      </c>
      <c r="G1640" s="2">
        <f t="shared" si="151"/>
        <v>36.470406819087472</v>
      </c>
      <c r="H1640" s="2">
        <f t="shared" si="152"/>
        <v>105.67322771450908</v>
      </c>
    </row>
    <row r="1641" spans="1:8" x14ac:dyDescent="0.3">
      <c r="A1641" s="1">
        <v>44191</v>
      </c>
      <c r="B1641">
        <v>26437.037109000001</v>
      </c>
      <c r="C1641" s="2">
        <f t="shared" si="150"/>
        <v>7.1853278296594825E-2</v>
      </c>
      <c r="D1641">
        <f t="shared" si="153"/>
        <v>24372.430468800001</v>
      </c>
      <c r="E1641">
        <f t="shared" si="154"/>
        <v>1</v>
      </c>
      <c r="F1641" s="2">
        <f t="shared" si="155"/>
        <v>7.1853278296594825E-2</v>
      </c>
      <c r="G1641" s="2">
        <f t="shared" si="151"/>
        <v>39.090925109849394</v>
      </c>
      <c r="H1641" s="2">
        <f t="shared" si="152"/>
        <v>113.26619555397914</v>
      </c>
    </row>
    <row r="1642" spans="1:8" x14ac:dyDescent="0.3">
      <c r="A1642" s="1">
        <v>44192</v>
      </c>
      <c r="B1642">
        <v>26272.294922000001</v>
      </c>
      <c r="C1642" s="2">
        <f t="shared" si="150"/>
        <v>-6.231492066254174E-3</v>
      </c>
      <c r="D1642">
        <f t="shared" si="153"/>
        <v>24870.283593799999</v>
      </c>
      <c r="E1642">
        <f t="shared" si="154"/>
        <v>1</v>
      </c>
      <c r="F1642" s="2">
        <f t="shared" si="155"/>
        <v>-6.231492066254174E-3</v>
      </c>
      <c r="G1642" s="2">
        <f t="shared" si="151"/>
        <v>38.847330320164829</v>
      </c>
      <c r="H1642" s="2">
        <f t="shared" si="152"/>
        <v>112.56037815500973</v>
      </c>
    </row>
    <row r="1643" spans="1:8" x14ac:dyDescent="0.3">
      <c r="A1643" s="1">
        <v>44193</v>
      </c>
      <c r="B1643">
        <v>27084.808593999998</v>
      </c>
      <c r="C1643" s="2">
        <f t="shared" si="150"/>
        <v>3.0926634860497515E-2</v>
      </c>
      <c r="D1643">
        <f t="shared" si="153"/>
        <v>25638.976172000002</v>
      </c>
      <c r="E1643">
        <f t="shared" si="154"/>
        <v>1</v>
      </c>
      <c r="F1643" s="2">
        <f t="shared" si="155"/>
        <v>3.0926634860497515E-2</v>
      </c>
      <c r="G1643" s="2">
        <f t="shared" si="151"/>
        <v>40.048747520281701</v>
      </c>
      <c r="H1643" s="2">
        <f t="shared" si="152"/>
        <v>116.04149186996924</v>
      </c>
    </row>
    <row r="1644" spans="1:8" x14ac:dyDescent="0.3">
      <c r="A1644" s="1">
        <v>44194</v>
      </c>
      <c r="B1644">
        <v>27362.4375</v>
      </c>
      <c r="C1644" s="2">
        <f t="shared" si="150"/>
        <v>1.0250355103543329E-2</v>
      </c>
      <c r="D1644">
        <f t="shared" si="153"/>
        <v>26364.273828199999</v>
      </c>
      <c r="E1644">
        <f t="shared" si="154"/>
        <v>1</v>
      </c>
      <c r="F1644" s="2">
        <f t="shared" si="155"/>
        <v>1.0250355103543329E-2</v>
      </c>
      <c r="G1644" s="2">
        <f t="shared" si="151"/>
        <v>40.45926140381674</v>
      </c>
      <c r="H1644" s="2">
        <f t="shared" si="152"/>
        <v>117.23095836838135</v>
      </c>
    </row>
    <row r="1645" spans="1:8" x14ac:dyDescent="0.3">
      <c r="A1645" s="1">
        <v>44195</v>
      </c>
      <c r="B1645">
        <v>28840.953125</v>
      </c>
      <c r="C1645" s="2">
        <f t="shared" si="150"/>
        <v>5.4034499850387885E-2</v>
      </c>
      <c r="D1645">
        <f t="shared" si="153"/>
        <v>27199.506249999999</v>
      </c>
      <c r="E1645">
        <f t="shared" si="154"/>
        <v>1</v>
      </c>
      <c r="F1645" s="2">
        <f t="shared" si="155"/>
        <v>5.4034499850387885E-2</v>
      </c>
      <c r="G1645" s="2">
        <f t="shared" si="151"/>
        <v>42.64545735808808</v>
      </c>
      <c r="H1645" s="2">
        <f t="shared" si="152"/>
        <v>123.56547457079849</v>
      </c>
    </row>
    <row r="1646" spans="1:8" x14ac:dyDescent="0.3">
      <c r="A1646" s="1">
        <v>44196</v>
      </c>
      <c r="B1646">
        <v>29001.720702999999</v>
      </c>
      <c r="C1646" s="2">
        <f t="shared" si="150"/>
        <v>5.5742810337513493E-3</v>
      </c>
      <c r="D1646">
        <f t="shared" si="153"/>
        <v>27712.442968800002</v>
      </c>
      <c r="E1646">
        <f t="shared" si="154"/>
        <v>1</v>
      </c>
      <c r="F1646" s="2">
        <f t="shared" si="155"/>
        <v>5.5742810337513493E-3</v>
      </c>
      <c r="G1646" s="2">
        <f t="shared" si="151"/>
        <v>42.883175122214922</v>
      </c>
      <c r="H1646" s="2">
        <f t="shared" si="152"/>
        <v>124.25426325212497</v>
      </c>
    </row>
    <row r="1647" spans="1:8" x14ac:dyDescent="0.3">
      <c r="A1647" s="1">
        <v>44197</v>
      </c>
      <c r="B1647">
        <v>29374.152343999998</v>
      </c>
      <c r="C1647" s="2">
        <f t="shared" si="150"/>
        <v>1.2841708421854836E-2</v>
      </c>
      <c r="D1647">
        <f t="shared" si="153"/>
        <v>28332.814453200001</v>
      </c>
      <c r="E1647">
        <f t="shared" si="154"/>
        <v>1</v>
      </c>
      <c r="F1647" s="2">
        <f t="shared" si="155"/>
        <v>1.2841708421854836E-2</v>
      </c>
      <c r="G1647" s="2">
        <f t="shared" si="151"/>
        <v>43.433868353337743</v>
      </c>
      <c r="H1647" s="2">
        <f t="shared" si="152"/>
        <v>125.84990027098115</v>
      </c>
    </row>
    <row r="1648" spans="1:8" x14ac:dyDescent="0.3">
      <c r="A1648" s="1">
        <v>44198</v>
      </c>
      <c r="B1648">
        <v>32127.267577999999</v>
      </c>
      <c r="C1648" s="2">
        <f t="shared" si="150"/>
        <v>9.3725776381845316E-2</v>
      </c>
      <c r="D1648">
        <f t="shared" si="153"/>
        <v>29341.306250000001</v>
      </c>
      <c r="E1648">
        <f t="shared" si="154"/>
        <v>1</v>
      </c>
      <c r="F1648" s="2">
        <f t="shared" si="155"/>
        <v>9.3725776381845316E-2</v>
      </c>
      <c r="G1648" s="2">
        <f t="shared" si="151"/>
        <v>47.504741386021188</v>
      </c>
      <c r="H1648" s="2">
        <f t="shared" si="152"/>
        <v>137.64527988145667</v>
      </c>
    </row>
    <row r="1649" spans="1:8" x14ac:dyDescent="0.3">
      <c r="A1649" s="1">
        <v>44199</v>
      </c>
      <c r="B1649">
        <v>32782.023437999997</v>
      </c>
      <c r="C1649" s="2">
        <f t="shared" si="150"/>
        <v>2.0380066820508524E-2</v>
      </c>
      <c r="D1649">
        <f t="shared" si="153"/>
        <v>30425.223437600001</v>
      </c>
      <c r="E1649">
        <f t="shared" si="154"/>
        <v>1</v>
      </c>
      <c r="F1649" s="2">
        <f t="shared" si="155"/>
        <v>2.0380066820508524E-2</v>
      </c>
      <c r="G1649" s="2">
        <f t="shared" si="151"/>
        <v>48.472891189759274</v>
      </c>
      <c r="H1649" s="2">
        <f t="shared" si="152"/>
        <v>140.45049988296836</v>
      </c>
    </row>
    <row r="1650" spans="1:8" x14ac:dyDescent="0.3">
      <c r="A1650" s="1">
        <v>44200</v>
      </c>
      <c r="B1650">
        <v>31971.914063</v>
      </c>
      <c r="C1650" s="2">
        <f t="shared" si="150"/>
        <v>-2.4712000359957687E-2</v>
      </c>
      <c r="D1650">
        <f t="shared" si="153"/>
        <v>31051.415625200003</v>
      </c>
      <c r="E1650">
        <f t="shared" si="154"/>
        <v>1</v>
      </c>
      <c r="F1650" s="2">
        <f t="shared" si="155"/>
        <v>-2.4712000359957687E-2</v>
      </c>
      <c r="G1650" s="2">
        <f t="shared" si="151"/>
        <v>47.275029085229754</v>
      </c>
      <c r="H1650" s="2">
        <f t="shared" si="152"/>
        <v>136.9796870793042</v>
      </c>
    </row>
    <row r="1651" spans="1:8" x14ac:dyDescent="0.3">
      <c r="A1651" s="1">
        <v>44201</v>
      </c>
      <c r="B1651">
        <v>33992.429687999997</v>
      </c>
      <c r="C1651" s="2">
        <f t="shared" si="150"/>
        <v>6.3196580005144831E-2</v>
      </c>
      <c r="D1651">
        <f t="shared" si="153"/>
        <v>32049.557422200003</v>
      </c>
      <c r="E1651">
        <f t="shared" si="154"/>
        <v>1</v>
      </c>
      <c r="F1651" s="2">
        <f t="shared" si="155"/>
        <v>6.3196580005144831E-2</v>
      </c>
      <c r="G1651" s="2">
        <f t="shared" si="151"/>
        <v>50.262649243060025</v>
      </c>
      <c r="H1651" s="2">
        <f t="shared" si="152"/>
        <v>145.63633483289115</v>
      </c>
    </row>
    <row r="1652" spans="1:8" x14ac:dyDescent="0.3">
      <c r="A1652" s="1">
        <v>44202</v>
      </c>
      <c r="B1652">
        <v>36824.363280999998</v>
      </c>
      <c r="C1652" s="2">
        <f t="shared" si="150"/>
        <v>8.3310714149972265E-2</v>
      </c>
      <c r="D1652">
        <f t="shared" si="153"/>
        <v>33539.599609599994</v>
      </c>
      <c r="E1652">
        <f t="shared" si="154"/>
        <v>1</v>
      </c>
      <c r="F1652" s="2">
        <f t="shared" si="155"/>
        <v>8.3310714149972265E-2</v>
      </c>
      <c r="G1652" s="2">
        <f t="shared" si="151"/>
        <v>54.450066446568918</v>
      </c>
      <c r="H1652" s="2">
        <f t="shared" si="152"/>
        <v>157.76940189400381</v>
      </c>
    </row>
    <row r="1653" spans="1:8" x14ac:dyDescent="0.3">
      <c r="A1653" s="1">
        <v>44203</v>
      </c>
      <c r="B1653">
        <v>39371.042969000002</v>
      </c>
      <c r="C1653" s="2">
        <f t="shared" si="150"/>
        <v>6.9157466989089755E-2</v>
      </c>
      <c r="D1653">
        <f t="shared" si="153"/>
        <v>34988.354687799998</v>
      </c>
      <c r="E1653">
        <f t="shared" si="154"/>
        <v>1</v>
      </c>
      <c r="F1653" s="2">
        <f t="shared" si="155"/>
        <v>6.9157466989089755E-2</v>
      </c>
      <c r="G1653" s="2">
        <f t="shared" si="151"/>
        <v>58.215695119401254</v>
      </c>
      <c r="H1653" s="2">
        <f t="shared" si="152"/>
        <v>168.6803340973768</v>
      </c>
    </row>
    <row r="1654" spans="1:8" x14ac:dyDescent="0.3">
      <c r="A1654" s="1">
        <v>44204</v>
      </c>
      <c r="B1654">
        <v>40797.609375</v>
      </c>
      <c r="C1654" s="2">
        <f t="shared" si="150"/>
        <v>3.6233899293022231E-2</v>
      </c>
      <c r="D1654">
        <f t="shared" si="153"/>
        <v>36591.471875200004</v>
      </c>
      <c r="E1654">
        <f t="shared" si="154"/>
        <v>1</v>
      </c>
      <c r="F1654" s="2">
        <f t="shared" si="155"/>
        <v>3.6233899293022231E-2</v>
      </c>
      <c r="G1654" s="2">
        <f t="shared" si="151"/>
        <v>60.325076753630924</v>
      </c>
      <c r="H1654" s="2">
        <f t="shared" si="152"/>
        <v>174.79228033577451</v>
      </c>
    </row>
    <row r="1655" spans="1:8" x14ac:dyDescent="0.3">
      <c r="A1655" s="1">
        <v>44205</v>
      </c>
      <c r="B1655">
        <v>40254.546875</v>
      </c>
      <c r="C1655" s="2">
        <f t="shared" si="150"/>
        <v>-1.3311135341493308E-2</v>
      </c>
      <c r="D1655">
        <f t="shared" si="153"/>
        <v>38247.998437599999</v>
      </c>
      <c r="E1655">
        <f t="shared" si="154"/>
        <v>1</v>
      </c>
      <c r="F1655" s="2">
        <f t="shared" si="155"/>
        <v>-1.3311135341493308E-2</v>
      </c>
      <c r="G1655" s="2">
        <f t="shared" si="151"/>
        <v>59.522081492477369</v>
      </c>
      <c r="H1655" s="2">
        <f t="shared" si="152"/>
        <v>172.46559663557676</v>
      </c>
    </row>
    <row r="1656" spans="1:8" x14ac:dyDescent="0.3">
      <c r="A1656" s="1">
        <v>44206</v>
      </c>
      <c r="B1656">
        <v>38356.441405999998</v>
      </c>
      <c r="C1656" s="2">
        <f t="shared" si="150"/>
        <v>-4.7152573220959892E-2</v>
      </c>
      <c r="D1656">
        <f t="shared" si="153"/>
        <v>39120.8007812</v>
      </c>
      <c r="E1656">
        <f t="shared" si="154"/>
        <v>0</v>
      </c>
      <c r="F1656" s="2">
        <f t="shared" si="155"/>
        <v>-4.7152573220959892E-2</v>
      </c>
      <c r="G1656" s="2">
        <f t="shared" si="151"/>
        <v>56.715462186639385</v>
      </c>
      <c r="H1656" s="2">
        <f t="shared" si="152"/>
        <v>164.33339996212121</v>
      </c>
    </row>
    <row r="1657" spans="1:8" x14ac:dyDescent="0.3">
      <c r="A1657" s="1">
        <v>44207</v>
      </c>
      <c r="B1657">
        <v>35566.65625</v>
      </c>
      <c r="C1657" s="2">
        <f t="shared" si="150"/>
        <v>-7.2733159118447244E-2</v>
      </c>
      <c r="D1657">
        <f t="shared" si="153"/>
        <v>38869.259375000001</v>
      </c>
      <c r="E1657">
        <f t="shared" si="154"/>
        <v>0</v>
      </c>
      <c r="F1657" s="2">
        <f t="shared" si="155"/>
        <v>0</v>
      </c>
      <c r="G1657" s="2">
        <f t="shared" si="151"/>
        <v>52.590367450942267</v>
      </c>
      <c r="H1657" s="2">
        <f t="shared" si="152"/>
        <v>164.33339996212121</v>
      </c>
    </row>
    <row r="1658" spans="1:8" x14ac:dyDescent="0.3">
      <c r="A1658" s="1">
        <v>44208</v>
      </c>
      <c r="B1658">
        <v>33922.960937999997</v>
      </c>
      <c r="C1658" s="2">
        <f t="shared" si="150"/>
        <v>-4.6214502157480797E-2</v>
      </c>
      <c r="D1658">
        <f t="shared" si="153"/>
        <v>37779.642968799999</v>
      </c>
      <c r="E1658">
        <f t="shared" si="154"/>
        <v>0</v>
      </c>
      <c r="F1658" s="2">
        <f t="shared" si="155"/>
        <v>0</v>
      </c>
      <c r="G1658" s="2">
        <f t="shared" si="151"/>
        <v>50.159929800917986</v>
      </c>
      <c r="H1658" s="2">
        <f t="shared" si="152"/>
        <v>164.33339996212121</v>
      </c>
    </row>
    <row r="1659" spans="1:8" x14ac:dyDescent="0.3">
      <c r="A1659" s="1">
        <v>44209</v>
      </c>
      <c r="B1659">
        <v>37316.359375</v>
      </c>
      <c r="C1659" s="2">
        <f t="shared" si="150"/>
        <v>0.10003249548888205</v>
      </c>
      <c r="D1659">
        <f t="shared" si="153"/>
        <v>37083.392968799999</v>
      </c>
      <c r="E1659">
        <f t="shared" si="154"/>
        <v>1</v>
      </c>
      <c r="F1659" s="2">
        <f t="shared" si="155"/>
        <v>0</v>
      </c>
      <c r="G1659" s="2">
        <f t="shared" si="151"/>
        <v>55.177552752450957</v>
      </c>
      <c r="H1659" s="2">
        <f t="shared" si="152"/>
        <v>164.33339996212121</v>
      </c>
    </row>
    <row r="1660" spans="1:8" x14ac:dyDescent="0.3">
      <c r="A1660" s="1">
        <v>44210</v>
      </c>
      <c r="B1660">
        <v>39187.328125</v>
      </c>
      <c r="C1660" s="2">
        <f t="shared" si="150"/>
        <v>5.0138030111625875E-2</v>
      </c>
      <c r="D1660">
        <f t="shared" si="153"/>
        <v>36869.9492188</v>
      </c>
      <c r="E1660">
        <f t="shared" si="154"/>
        <v>1</v>
      </c>
      <c r="F1660" s="2">
        <f t="shared" si="155"/>
        <v>5.0138030111625875E-2</v>
      </c>
      <c r="G1660" s="2">
        <f t="shared" si="151"/>
        <v>57.944046553839165</v>
      </c>
      <c r="H1660" s="2">
        <f t="shared" si="152"/>
        <v>172.5727529177679</v>
      </c>
    </row>
    <row r="1661" spans="1:8" x14ac:dyDescent="0.3">
      <c r="A1661" s="1">
        <v>44211</v>
      </c>
      <c r="B1661">
        <v>36825.367187999997</v>
      </c>
      <c r="C1661" s="2">
        <f t="shared" si="150"/>
        <v>-6.0273589703942143E-2</v>
      </c>
      <c r="D1661">
        <f t="shared" si="153"/>
        <v>36563.734375200002</v>
      </c>
      <c r="E1661">
        <f t="shared" si="154"/>
        <v>1</v>
      </c>
      <c r="F1661" s="2">
        <f t="shared" si="155"/>
        <v>-6.0273589703942143E-2</v>
      </c>
      <c r="G1661" s="2">
        <f t="shared" si="151"/>
        <v>54.451550866066938</v>
      </c>
      <c r="H1661" s="2">
        <f t="shared" si="152"/>
        <v>162.17117361432258</v>
      </c>
    </row>
    <row r="1662" spans="1:8" x14ac:dyDescent="0.3">
      <c r="A1662" s="1">
        <v>44212</v>
      </c>
      <c r="B1662">
        <v>36178.140625</v>
      </c>
      <c r="C1662" s="2">
        <f t="shared" si="150"/>
        <v>-1.7575563054016308E-2</v>
      </c>
      <c r="D1662">
        <f t="shared" si="153"/>
        <v>36686.031250200002</v>
      </c>
      <c r="E1662">
        <f t="shared" si="154"/>
        <v>0</v>
      </c>
      <c r="F1662" s="2">
        <f t="shared" si="155"/>
        <v>-1.7575563054016308E-2</v>
      </c>
      <c r="G1662" s="2">
        <f t="shared" si="151"/>
        <v>53.494534200431403</v>
      </c>
      <c r="H1662" s="2">
        <f t="shared" si="152"/>
        <v>159.32092392692024</v>
      </c>
    </row>
    <row r="1663" spans="1:8" x14ac:dyDescent="0.3">
      <c r="A1663" s="1">
        <v>44213</v>
      </c>
      <c r="B1663">
        <v>35791.277344000002</v>
      </c>
      <c r="C1663" s="2">
        <f t="shared" si="150"/>
        <v>-1.0693288110353194E-2</v>
      </c>
      <c r="D1663">
        <f t="shared" si="153"/>
        <v>37059.694531400004</v>
      </c>
      <c r="E1663">
        <f t="shared" si="154"/>
        <v>0</v>
      </c>
      <c r="F1663" s="2">
        <f t="shared" si="155"/>
        <v>0</v>
      </c>
      <c r="G1663" s="2">
        <f t="shared" si="151"/>
        <v>52.92250173389705</v>
      </c>
      <c r="H1663" s="2">
        <f t="shared" si="152"/>
        <v>159.32092392692024</v>
      </c>
    </row>
    <row r="1664" spans="1:8" x14ac:dyDescent="0.3">
      <c r="A1664" s="1">
        <v>44214</v>
      </c>
      <c r="B1664">
        <v>36630.074219000002</v>
      </c>
      <c r="C1664" s="2">
        <f t="shared" si="150"/>
        <v>2.3435790428435688E-2</v>
      </c>
      <c r="D1664">
        <f t="shared" si="153"/>
        <v>36922.437500200002</v>
      </c>
      <c r="E1664">
        <f t="shared" si="154"/>
        <v>0</v>
      </c>
      <c r="F1664" s="2">
        <f t="shared" si="155"/>
        <v>0</v>
      </c>
      <c r="G1664" s="2">
        <f t="shared" si="151"/>
        <v>54.162782393481187</v>
      </c>
      <c r="H1664" s="2">
        <f t="shared" si="152"/>
        <v>159.32092392692024</v>
      </c>
    </row>
    <row r="1665" spans="1:8" x14ac:dyDescent="0.3">
      <c r="A1665" s="1">
        <v>44215</v>
      </c>
      <c r="B1665">
        <v>36069.804687999997</v>
      </c>
      <c r="C1665" s="2">
        <f t="shared" si="150"/>
        <v>-1.5295342500545428E-2</v>
      </c>
      <c r="D1665">
        <f t="shared" si="153"/>
        <v>36298.932812800005</v>
      </c>
      <c r="E1665">
        <f t="shared" si="154"/>
        <v>0</v>
      </c>
      <c r="F1665" s="2">
        <f t="shared" si="155"/>
        <v>0</v>
      </c>
      <c r="G1665" s="2">
        <f t="shared" si="151"/>
        <v>53.334344085990381</v>
      </c>
      <c r="H1665" s="2">
        <f t="shared" si="152"/>
        <v>159.32092392692024</v>
      </c>
    </row>
    <row r="1666" spans="1:8" x14ac:dyDescent="0.3">
      <c r="A1666" s="1">
        <v>44216</v>
      </c>
      <c r="B1666">
        <v>35547.75</v>
      </c>
      <c r="C1666" s="2">
        <f t="shared" si="150"/>
        <v>-1.4473454805639108E-2</v>
      </c>
      <c r="D1666">
        <f t="shared" si="153"/>
        <v>36043.409375200004</v>
      </c>
      <c r="E1666">
        <f t="shared" si="154"/>
        <v>0</v>
      </c>
      <c r="F1666" s="2">
        <f t="shared" si="155"/>
        <v>0</v>
      </c>
      <c r="G1666" s="2">
        <f t="shared" si="151"/>
        <v>52.562411867273397</v>
      </c>
      <c r="H1666" s="2">
        <f t="shared" si="152"/>
        <v>159.32092392692024</v>
      </c>
    </row>
    <row r="1667" spans="1:8" x14ac:dyDescent="0.3">
      <c r="A1667" s="1">
        <v>44217</v>
      </c>
      <c r="B1667">
        <v>30825.699218999998</v>
      </c>
      <c r="C1667" s="2">
        <f t="shared" si="150"/>
        <v>-0.13283684005316798</v>
      </c>
      <c r="D1667">
        <f t="shared" si="153"/>
        <v>34972.921094000005</v>
      </c>
      <c r="E1667">
        <f t="shared" si="154"/>
        <v>0</v>
      </c>
      <c r="F1667" s="2">
        <f t="shared" si="155"/>
        <v>0</v>
      </c>
      <c r="G1667" s="2">
        <f t="shared" si="151"/>
        <v>45.580187169251666</v>
      </c>
      <c r="H1667" s="2">
        <f t="shared" si="152"/>
        <v>159.32092392692024</v>
      </c>
    </row>
    <row r="1668" spans="1:8" x14ac:dyDescent="0.3">
      <c r="A1668" s="1">
        <v>44218</v>
      </c>
      <c r="B1668">
        <v>33005.761719000002</v>
      </c>
      <c r="C1668" s="2">
        <f t="shared" ref="C1668:C1731" si="156">B1668/B1667-1</f>
        <v>7.0722240054048147E-2</v>
      </c>
      <c r="D1668">
        <f t="shared" si="153"/>
        <v>34415.817969000003</v>
      </c>
      <c r="E1668">
        <f t="shared" si="154"/>
        <v>0</v>
      </c>
      <c r="F1668" s="2">
        <f t="shared" si="155"/>
        <v>0</v>
      </c>
      <c r="G1668" s="2">
        <f t="shared" ref="G1668:G1731" si="157">(1+C1668)*G1667</f>
        <v>48.803720107943924</v>
      </c>
      <c r="H1668" s="2">
        <f t="shared" ref="H1668:H1731" si="158">(1+F1668)*H1667</f>
        <v>159.32092392692024</v>
      </c>
    </row>
    <row r="1669" spans="1:8" x14ac:dyDescent="0.3">
      <c r="A1669" s="1">
        <v>44219</v>
      </c>
      <c r="B1669">
        <v>32067.642577999999</v>
      </c>
      <c r="C1669" s="2">
        <f t="shared" si="156"/>
        <v>-2.8422890190713868E-2</v>
      </c>
      <c r="D1669">
        <f t="shared" si="153"/>
        <v>33503.331640800003</v>
      </c>
      <c r="E1669">
        <f t="shared" si="154"/>
        <v>0</v>
      </c>
      <c r="F1669" s="2">
        <f t="shared" si="155"/>
        <v>0</v>
      </c>
      <c r="G1669" s="2">
        <f t="shared" si="157"/>
        <v>47.416577330417496</v>
      </c>
      <c r="H1669" s="2">
        <f t="shared" si="158"/>
        <v>159.32092392692024</v>
      </c>
    </row>
    <row r="1670" spans="1:8" x14ac:dyDescent="0.3">
      <c r="A1670" s="1">
        <v>44220</v>
      </c>
      <c r="B1670">
        <v>32289.378906000002</v>
      </c>
      <c r="C1670" s="2">
        <f t="shared" si="156"/>
        <v>6.9146438644704933E-3</v>
      </c>
      <c r="D1670">
        <f t="shared" si="153"/>
        <v>32747.246484399999</v>
      </c>
      <c r="E1670">
        <f t="shared" si="154"/>
        <v>0</v>
      </c>
      <c r="F1670" s="2">
        <f t="shared" si="155"/>
        <v>0</v>
      </c>
      <c r="G1670" s="2">
        <f t="shared" si="157"/>
        <v>47.74444607592946</v>
      </c>
      <c r="H1670" s="2">
        <f t="shared" si="158"/>
        <v>159.32092392692024</v>
      </c>
    </row>
    <row r="1671" spans="1:8" x14ac:dyDescent="0.3">
      <c r="A1671" s="1">
        <v>44221</v>
      </c>
      <c r="B1671">
        <v>32366.392577999999</v>
      </c>
      <c r="C1671" s="2">
        <f t="shared" si="156"/>
        <v>2.3851084972614789E-3</v>
      </c>
      <c r="D1671">
        <f t="shared" ref="D1671:D1734" si="159">AVERAGE(B1667:B1671)</f>
        <v>32110.974999999999</v>
      </c>
      <c r="E1671">
        <f t="shared" ref="E1671:E1734" si="160">IF(B1671&gt;D1671,1,0)</f>
        <v>1</v>
      </c>
      <c r="F1671" s="2">
        <f t="shared" si="155"/>
        <v>0</v>
      </c>
      <c r="G1671" s="2">
        <f t="shared" si="157"/>
        <v>47.858321759962202</v>
      </c>
      <c r="H1671" s="2">
        <f t="shared" si="158"/>
        <v>159.32092392692024</v>
      </c>
    </row>
    <row r="1672" spans="1:8" x14ac:dyDescent="0.3">
      <c r="A1672" s="1">
        <v>44222</v>
      </c>
      <c r="B1672">
        <v>32569.849609000001</v>
      </c>
      <c r="C1672" s="2">
        <f t="shared" si="156"/>
        <v>6.2860583090837974E-3</v>
      </c>
      <c r="D1672">
        <f t="shared" si="159"/>
        <v>32459.805077999998</v>
      </c>
      <c r="E1672">
        <f t="shared" si="160"/>
        <v>1</v>
      </c>
      <c r="F1672" s="2">
        <f t="shared" ref="F1672:F1735" si="161">E1671*C1672</f>
        <v>6.2860583090837974E-3</v>
      </c>
      <c r="G1672" s="2">
        <f t="shared" si="157"/>
        <v>48.159161961120219</v>
      </c>
      <c r="H1672" s="2">
        <f t="shared" si="158"/>
        <v>160.32242454458196</v>
      </c>
    </row>
    <row r="1673" spans="1:8" x14ac:dyDescent="0.3">
      <c r="A1673" s="1">
        <v>44223</v>
      </c>
      <c r="B1673">
        <v>30432.546875</v>
      </c>
      <c r="C1673" s="2">
        <f t="shared" si="156"/>
        <v>-6.5622124745992161E-2</v>
      </c>
      <c r="D1673">
        <f t="shared" si="159"/>
        <v>31945.162109199999</v>
      </c>
      <c r="E1673">
        <f t="shared" si="160"/>
        <v>0</v>
      </c>
      <c r="F1673" s="2">
        <f t="shared" si="161"/>
        <v>-6.5622124745992161E-2</v>
      </c>
      <c r="G1673" s="2">
        <f t="shared" si="157"/>
        <v>44.998855427245147</v>
      </c>
      <c r="H1673" s="2">
        <f t="shared" si="158"/>
        <v>149.80172640153748</v>
      </c>
    </row>
    <row r="1674" spans="1:8" x14ac:dyDescent="0.3">
      <c r="A1674" s="1">
        <v>44224</v>
      </c>
      <c r="B1674">
        <v>31649.605468999998</v>
      </c>
      <c r="C1674" s="2">
        <f t="shared" si="156"/>
        <v>3.9992005894182947E-2</v>
      </c>
      <c r="D1674">
        <f t="shared" si="159"/>
        <v>31861.554687399999</v>
      </c>
      <c r="E1674">
        <f t="shared" si="160"/>
        <v>0</v>
      </c>
      <c r="F1674" s="2">
        <f t="shared" si="161"/>
        <v>0</v>
      </c>
      <c r="G1674" s="2">
        <f t="shared" si="157"/>
        <v>46.798449918723023</v>
      </c>
      <c r="H1674" s="2">
        <f t="shared" si="158"/>
        <v>149.80172640153748</v>
      </c>
    </row>
    <row r="1675" spans="1:8" x14ac:dyDescent="0.3">
      <c r="A1675" s="1">
        <v>44225</v>
      </c>
      <c r="B1675">
        <v>34316.386719000002</v>
      </c>
      <c r="C1675" s="2">
        <f t="shared" si="156"/>
        <v>8.4259541643008751E-2</v>
      </c>
      <c r="D1675">
        <f t="shared" si="159"/>
        <v>32266.956249999999</v>
      </c>
      <c r="E1675">
        <f t="shared" si="160"/>
        <v>1</v>
      </c>
      <c r="F1675" s="2">
        <f t="shared" si="161"/>
        <v>0</v>
      </c>
      <c r="G1675" s="2">
        <f t="shared" si="157"/>
        <v>50.741665858477923</v>
      </c>
      <c r="H1675" s="2">
        <f t="shared" si="158"/>
        <v>149.80172640153748</v>
      </c>
    </row>
    <row r="1676" spans="1:8" x14ac:dyDescent="0.3">
      <c r="A1676" s="1">
        <v>44226</v>
      </c>
      <c r="B1676">
        <v>34269.523437999997</v>
      </c>
      <c r="C1676" s="2">
        <f t="shared" si="156"/>
        <v>-1.3656239913527601E-3</v>
      </c>
      <c r="D1676">
        <f t="shared" si="159"/>
        <v>32647.582421999999</v>
      </c>
      <c r="E1676">
        <f t="shared" si="160"/>
        <v>1</v>
      </c>
      <c r="F1676" s="2">
        <f t="shared" si="161"/>
        <v>-1.3656239913527601E-3</v>
      </c>
      <c r="G1676" s="2">
        <f t="shared" si="157"/>
        <v>50.672371822220377</v>
      </c>
      <c r="H1676" s="2">
        <f t="shared" si="158"/>
        <v>149.59715357001747</v>
      </c>
    </row>
    <row r="1677" spans="1:8" x14ac:dyDescent="0.3">
      <c r="A1677" s="1">
        <v>44227</v>
      </c>
      <c r="B1677">
        <v>33114.359375</v>
      </c>
      <c r="C1677" s="2">
        <f t="shared" si="156"/>
        <v>-3.3708203298767891E-2</v>
      </c>
      <c r="D1677">
        <f t="shared" si="159"/>
        <v>32756.484375200002</v>
      </c>
      <c r="E1677">
        <f t="shared" si="160"/>
        <v>1</v>
      </c>
      <c r="F1677" s="2">
        <f t="shared" si="161"/>
        <v>-3.3708203298767891E-2</v>
      </c>
      <c r="G1677" s="2">
        <f t="shared" si="157"/>
        <v>48.964297211206215</v>
      </c>
      <c r="H1677" s="2">
        <f t="shared" si="158"/>
        <v>144.55450230456231</v>
      </c>
    </row>
    <row r="1678" spans="1:8" x14ac:dyDescent="0.3">
      <c r="A1678" s="1">
        <v>44228</v>
      </c>
      <c r="B1678">
        <v>33537.175780999998</v>
      </c>
      <c r="C1678" s="2">
        <f t="shared" si="156"/>
        <v>1.2768370398226869E-2</v>
      </c>
      <c r="D1678">
        <f t="shared" si="159"/>
        <v>33377.410156400001</v>
      </c>
      <c r="E1678">
        <f t="shared" si="160"/>
        <v>1</v>
      </c>
      <c r="F1678" s="2">
        <f t="shared" si="161"/>
        <v>1.2768370398226869E-2</v>
      </c>
      <c r="G1678" s="2">
        <f t="shared" si="157"/>
        <v>49.589491494287763</v>
      </c>
      <c r="H1678" s="2">
        <f t="shared" si="158"/>
        <v>146.40022773271829</v>
      </c>
    </row>
    <row r="1679" spans="1:8" x14ac:dyDescent="0.3">
      <c r="A1679" s="1">
        <v>44229</v>
      </c>
      <c r="B1679">
        <v>35510.289062999997</v>
      </c>
      <c r="C1679" s="2">
        <f t="shared" si="156"/>
        <v>5.8833614818509572E-2</v>
      </c>
      <c r="D1679">
        <f t="shared" si="159"/>
        <v>34149.546875200002</v>
      </c>
      <c r="E1679">
        <f t="shared" si="160"/>
        <v>1</v>
      </c>
      <c r="F1679" s="2">
        <f t="shared" si="161"/>
        <v>5.8833614818509572E-2</v>
      </c>
      <c r="G1679" s="2">
        <f t="shared" si="157"/>
        <v>52.507020535908445</v>
      </c>
      <c r="H1679" s="2">
        <f t="shared" si="158"/>
        <v>155.01348234048712</v>
      </c>
    </row>
    <row r="1680" spans="1:8" x14ac:dyDescent="0.3">
      <c r="A1680" s="1">
        <v>44230</v>
      </c>
      <c r="B1680">
        <v>37472.089844000002</v>
      </c>
      <c r="C1680" s="2">
        <f t="shared" si="156"/>
        <v>5.52459817355897E-2</v>
      </c>
      <c r="D1680">
        <f t="shared" si="159"/>
        <v>34780.687500200002</v>
      </c>
      <c r="E1680">
        <f t="shared" si="160"/>
        <v>1</v>
      </c>
      <c r="F1680" s="2">
        <f t="shared" si="161"/>
        <v>5.52459817355897E-2</v>
      </c>
      <c r="G1680" s="2">
        <f t="shared" si="157"/>
        <v>55.40782243342548</v>
      </c>
      <c r="H1680" s="2">
        <f t="shared" si="158"/>
        <v>163.57735435463982</v>
      </c>
    </row>
    <row r="1681" spans="1:8" x14ac:dyDescent="0.3">
      <c r="A1681" s="1">
        <v>44231</v>
      </c>
      <c r="B1681">
        <v>36926.066405999998</v>
      </c>
      <c r="C1681" s="2">
        <f t="shared" si="156"/>
        <v>-1.4571470133455389E-2</v>
      </c>
      <c r="D1681">
        <f t="shared" si="159"/>
        <v>35311.9960938</v>
      </c>
      <c r="E1681">
        <f t="shared" si="160"/>
        <v>1</v>
      </c>
      <c r="F1681" s="2">
        <f t="shared" si="161"/>
        <v>-1.4571470133455389E-2</v>
      </c>
      <c r="G1681" s="2">
        <f t="shared" si="157"/>
        <v>54.600449003677021</v>
      </c>
      <c r="H1681" s="2">
        <f t="shared" si="158"/>
        <v>161.19379182115154</v>
      </c>
    </row>
    <row r="1682" spans="1:8" x14ac:dyDescent="0.3">
      <c r="A1682" s="1">
        <v>44232</v>
      </c>
      <c r="B1682">
        <v>38144.308594000002</v>
      </c>
      <c r="C1682" s="2">
        <f t="shared" si="156"/>
        <v>3.2991388105234387E-2</v>
      </c>
      <c r="D1682">
        <f t="shared" si="159"/>
        <v>36317.985937600002</v>
      </c>
      <c r="E1682">
        <f t="shared" si="160"/>
        <v>1</v>
      </c>
      <c r="F1682" s="2">
        <f t="shared" si="161"/>
        <v>3.2991388105234387E-2</v>
      </c>
      <c r="G1682" s="2">
        <f t="shared" si="157"/>
        <v>56.401793607477387</v>
      </c>
      <c r="H1682" s="2">
        <f t="shared" si="158"/>
        <v>166.5117987672775</v>
      </c>
    </row>
    <row r="1683" spans="1:8" x14ac:dyDescent="0.3">
      <c r="A1683" s="1">
        <v>44233</v>
      </c>
      <c r="B1683">
        <v>39266.011719000002</v>
      </c>
      <c r="C1683" s="2">
        <f t="shared" si="156"/>
        <v>2.9406828078578418E-2</v>
      </c>
      <c r="D1683">
        <f t="shared" si="159"/>
        <v>37463.753125200004</v>
      </c>
      <c r="E1683">
        <f t="shared" si="160"/>
        <v>1</v>
      </c>
      <c r="F1683" s="2">
        <f t="shared" si="161"/>
        <v>2.9406828078578418E-2</v>
      </c>
      <c r="G1683" s="2">
        <f t="shared" si="157"/>
        <v>58.060391455415939</v>
      </c>
      <c r="H1683" s="2">
        <f t="shared" si="158"/>
        <v>171.40838260668167</v>
      </c>
    </row>
    <row r="1684" spans="1:8" x14ac:dyDescent="0.3">
      <c r="A1684" s="1">
        <v>44234</v>
      </c>
      <c r="B1684">
        <v>38903.441405999998</v>
      </c>
      <c r="C1684" s="2">
        <f t="shared" si="156"/>
        <v>-9.2336933935300847E-3</v>
      </c>
      <c r="D1684">
        <f t="shared" si="159"/>
        <v>38142.383593799997</v>
      </c>
      <c r="E1684">
        <f t="shared" si="160"/>
        <v>1</v>
      </c>
      <c r="F1684" s="2">
        <f t="shared" si="161"/>
        <v>-9.2336933935300847E-3</v>
      </c>
      <c r="G1684" s="2">
        <f t="shared" si="157"/>
        <v>57.524279602408292</v>
      </c>
      <c r="H1684" s="2">
        <f t="shared" si="158"/>
        <v>169.82565015661066</v>
      </c>
    </row>
    <row r="1685" spans="1:8" x14ac:dyDescent="0.3">
      <c r="A1685" s="1">
        <v>44235</v>
      </c>
      <c r="B1685">
        <v>46196.464844000002</v>
      </c>
      <c r="C1685" s="2">
        <f t="shared" si="156"/>
        <v>0.18746473767935656</v>
      </c>
      <c r="D1685">
        <f t="shared" si="159"/>
        <v>39887.258593799997</v>
      </c>
      <c r="E1685">
        <f t="shared" si="160"/>
        <v>1</v>
      </c>
      <c r="F1685" s="2">
        <f t="shared" si="161"/>
        <v>0.18746473767935656</v>
      </c>
      <c r="G1685" s="2">
        <f t="shared" si="157"/>
        <v>68.308053588267725</v>
      </c>
      <c r="H1685" s="2">
        <f t="shared" si="158"/>
        <v>201.66197111444586</v>
      </c>
    </row>
    <row r="1686" spans="1:8" x14ac:dyDescent="0.3">
      <c r="A1686" s="1">
        <v>44236</v>
      </c>
      <c r="B1686">
        <v>46481.105469000002</v>
      </c>
      <c r="C1686" s="2">
        <f t="shared" si="156"/>
        <v>6.1615239599219773E-3</v>
      </c>
      <c r="D1686">
        <f t="shared" si="159"/>
        <v>41798.266406399998</v>
      </c>
      <c r="E1686">
        <f t="shared" si="160"/>
        <v>1</v>
      </c>
      <c r="F1686" s="2">
        <f t="shared" si="161"/>
        <v>6.1615239599219773E-3</v>
      </c>
      <c r="G1686" s="2">
        <f t="shared" si="157"/>
        <v>68.728935297107469</v>
      </c>
      <c r="H1686" s="2">
        <f t="shared" si="158"/>
        <v>202.90451618127261</v>
      </c>
    </row>
    <row r="1687" spans="1:8" x14ac:dyDescent="0.3">
      <c r="A1687" s="1">
        <v>44237</v>
      </c>
      <c r="B1687">
        <v>44918.183594000002</v>
      </c>
      <c r="C1687" s="2">
        <f t="shared" si="156"/>
        <v>-3.3624886052728953E-2</v>
      </c>
      <c r="D1687">
        <f t="shared" si="159"/>
        <v>43153.0414064</v>
      </c>
      <c r="E1687">
        <f t="shared" si="160"/>
        <v>1</v>
      </c>
      <c r="F1687" s="2">
        <f t="shared" si="161"/>
        <v>-3.3624886052728953E-2</v>
      </c>
      <c r="G1687" s="2">
        <f t="shared" si="157"/>
        <v>66.417932679216847</v>
      </c>
      <c r="H1687" s="2">
        <f t="shared" si="158"/>
        <v>196.08187494509323</v>
      </c>
    </row>
    <row r="1688" spans="1:8" x14ac:dyDescent="0.3">
      <c r="A1688" s="1">
        <v>44238</v>
      </c>
      <c r="B1688">
        <v>47909.332030999998</v>
      </c>
      <c r="C1688" s="2">
        <f t="shared" si="156"/>
        <v>6.6591037251994889E-2</v>
      </c>
      <c r="D1688">
        <f t="shared" si="159"/>
        <v>44881.705468799999</v>
      </c>
      <c r="E1688">
        <f t="shared" si="160"/>
        <v>1</v>
      </c>
      <c r="F1688" s="2">
        <f t="shared" si="161"/>
        <v>6.6591037251994889E-2</v>
      </c>
      <c r="G1688" s="2">
        <f t="shared" si="157"/>
        <v>70.840771708459059</v>
      </c>
      <c r="H1688" s="2">
        <f t="shared" si="158"/>
        <v>209.13917038400294</v>
      </c>
    </row>
    <row r="1689" spans="1:8" x14ac:dyDescent="0.3">
      <c r="A1689" s="1">
        <v>44239</v>
      </c>
      <c r="B1689">
        <v>47504.851562999997</v>
      </c>
      <c r="C1689" s="2">
        <f t="shared" si="156"/>
        <v>-8.442623824065798E-3</v>
      </c>
      <c r="D1689">
        <f t="shared" si="159"/>
        <v>46601.987500200004</v>
      </c>
      <c r="E1689">
        <f t="shared" si="160"/>
        <v>1</v>
      </c>
      <c r="F1689" s="2">
        <f t="shared" si="161"/>
        <v>-8.442623824065798E-3</v>
      </c>
      <c r="G1689" s="2">
        <f t="shared" si="157"/>
        <v>70.242689721518019</v>
      </c>
      <c r="H1689" s="2">
        <f t="shared" si="158"/>
        <v>207.37348704157361</v>
      </c>
    </row>
    <row r="1690" spans="1:8" x14ac:dyDescent="0.3">
      <c r="A1690" s="1">
        <v>44240</v>
      </c>
      <c r="B1690">
        <v>47105.515625</v>
      </c>
      <c r="C1690" s="2">
        <f t="shared" si="156"/>
        <v>-8.4062137836681261E-3</v>
      </c>
      <c r="D1690">
        <f t="shared" si="159"/>
        <v>46783.797656399998</v>
      </c>
      <c r="E1690">
        <f t="shared" si="160"/>
        <v>1</v>
      </c>
      <c r="F1690" s="2">
        <f t="shared" si="161"/>
        <v>-8.4062137836681261E-3</v>
      </c>
      <c r="G1690" s="2">
        <f t="shared" si="157"/>
        <v>69.652214654979076</v>
      </c>
      <c r="H1690" s="2">
        <f t="shared" si="158"/>
        <v>205.63026117643741</v>
      </c>
    </row>
    <row r="1691" spans="1:8" x14ac:dyDescent="0.3">
      <c r="A1691" s="1">
        <v>44241</v>
      </c>
      <c r="B1691">
        <v>48717.289062999997</v>
      </c>
      <c r="C1691" s="2">
        <f t="shared" si="156"/>
        <v>3.4216235967589936E-2</v>
      </c>
      <c r="D1691">
        <f t="shared" si="159"/>
        <v>47231.034375200004</v>
      </c>
      <c r="E1691">
        <f t="shared" si="160"/>
        <v>1</v>
      </c>
      <c r="F1691" s="2">
        <f t="shared" si="161"/>
        <v>3.4216235967589936E-2</v>
      </c>
      <c r="G1691" s="2">
        <f t="shared" si="157"/>
        <v>72.035451267279072</v>
      </c>
      <c r="H1691" s="2">
        <f t="shared" si="158"/>
        <v>212.66615471492756</v>
      </c>
    </row>
    <row r="1692" spans="1:8" x14ac:dyDescent="0.3">
      <c r="A1692" s="1">
        <v>44242</v>
      </c>
      <c r="B1692">
        <v>47945.058594000002</v>
      </c>
      <c r="C1692" s="2">
        <f t="shared" si="156"/>
        <v>-1.5851261099552705E-2</v>
      </c>
      <c r="D1692">
        <f t="shared" si="159"/>
        <v>47836.409375200004</v>
      </c>
      <c r="E1692">
        <f t="shared" si="160"/>
        <v>1</v>
      </c>
      <c r="F1692" s="2">
        <f t="shared" si="161"/>
        <v>-1.5851261099552705E-2</v>
      </c>
      <c r="G1692" s="2">
        <f t="shared" si="157"/>
        <v>70.893598520817321</v>
      </c>
      <c r="H1692" s="2">
        <f t="shared" si="158"/>
        <v>209.29512796950337</v>
      </c>
    </row>
    <row r="1693" spans="1:8" x14ac:dyDescent="0.3">
      <c r="A1693" s="1">
        <v>44243</v>
      </c>
      <c r="B1693">
        <v>49199.871094000002</v>
      </c>
      <c r="C1693" s="2">
        <f t="shared" si="156"/>
        <v>2.617188375189583E-2</v>
      </c>
      <c r="D1693">
        <f t="shared" si="159"/>
        <v>48094.517187800004</v>
      </c>
      <c r="E1693">
        <f t="shared" si="160"/>
        <v>1</v>
      </c>
      <c r="F1693" s="2">
        <f t="shared" si="161"/>
        <v>2.617188375189583E-2</v>
      </c>
      <c r="G1693" s="2">
        <f t="shared" si="157"/>
        <v>72.749017540057721</v>
      </c>
      <c r="H1693" s="2">
        <f t="shared" si="158"/>
        <v>214.77277572855937</v>
      </c>
    </row>
    <row r="1694" spans="1:8" x14ac:dyDescent="0.3">
      <c r="A1694" s="1">
        <v>44244</v>
      </c>
      <c r="B1694">
        <v>52149.007812999997</v>
      </c>
      <c r="C1694" s="2">
        <f t="shared" si="156"/>
        <v>5.9941960282079876E-2</v>
      </c>
      <c r="D1694">
        <f t="shared" si="159"/>
        <v>49023.348437799999</v>
      </c>
      <c r="E1694">
        <f t="shared" si="160"/>
        <v>1</v>
      </c>
      <c r="F1694" s="2">
        <f t="shared" si="161"/>
        <v>5.9941960282079876E-2</v>
      </c>
      <c r="G1694" s="2">
        <f t="shared" si="157"/>
        <v>77.109736260004198</v>
      </c>
      <c r="H1694" s="2">
        <f t="shared" si="158"/>
        <v>227.64667692095273</v>
      </c>
    </row>
    <row r="1695" spans="1:8" x14ac:dyDescent="0.3">
      <c r="A1695" s="1">
        <v>44245</v>
      </c>
      <c r="B1695">
        <v>51679.796875</v>
      </c>
      <c r="C1695" s="2">
        <f t="shared" si="156"/>
        <v>-8.9975046060805086E-3</v>
      </c>
      <c r="D1695">
        <f t="shared" si="159"/>
        <v>49938.204687800004</v>
      </c>
      <c r="E1695">
        <f t="shared" si="160"/>
        <v>1</v>
      </c>
      <c r="F1695" s="2">
        <f t="shared" si="161"/>
        <v>-8.9975046060805086E-3</v>
      </c>
      <c r="G1695" s="2">
        <f t="shared" si="157"/>
        <v>76.415941052831158</v>
      </c>
      <c r="H1695" s="2">
        <f t="shared" si="158"/>
        <v>225.59842489679752</v>
      </c>
    </row>
    <row r="1696" spans="1:8" x14ac:dyDescent="0.3">
      <c r="A1696" s="1">
        <v>44246</v>
      </c>
      <c r="B1696">
        <v>55888.132812999997</v>
      </c>
      <c r="C1696" s="2">
        <f t="shared" si="156"/>
        <v>8.1430969014426813E-2</v>
      </c>
      <c r="D1696">
        <f t="shared" si="159"/>
        <v>51372.373437800001</v>
      </c>
      <c r="E1696">
        <f t="shared" si="160"/>
        <v>1</v>
      </c>
      <c r="F1696" s="2">
        <f t="shared" si="161"/>
        <v>8.1430969014426813E-2</v>
      </c>
      <c r="G1696" s="2">
        <f t="shared" si="157"/>
        <v>82.638565180912522</v>
      </c>
      <c r="H1696" s="2">
        <f t="shared" si="158"/>
        <v>243.96912324427214</v>
      </c>
    </row>
    <row r="1697" spans="1:8" x14ac:dyDescent="0.3">
      <c r="A1697" s="1">
        <v>44247</v>
      </c>
      <c r="B1697">
        <v>56099.519530999998</v>
      </c>
      <c r="C1697" s="2">
        <f t="shared" si="156"/>
        <v>3.7823184880285687E-3</v>
      </c>
      <c r="D1697">
        <f t="shared" si="159"/>
        <v>53003.265625200002</v>
      </c>
      <c r="E1697">
        <f t="shared" si="160"/>
        <v>1</v>
      </c>
      <c r="F1697" s="2">
        <f t="shared" si="161"/>
        <v>3.7823184880285687E-3</v>
      </c>
      <c r="G1697" s="2">
        <f t="shared" si="157"/>
        <v>82.951130553820448</v>
      </c>
      <c r="H1697" s="2">
        <f t="shared" si="158"/>
        <v>244.89189216962708</v>
      </c>
    </row>
    <row r="1698" spans="1:8" x14ac:dyDescent="0.3">
      <c r="A1698" s="1">
        <v>44248</v>
      </c>
      <c r="B1698">
        <v>57539.945312999997</v>
      </c>
      <c r="C1698" s="2">
        <f t="shared" si="156"/>
        <v>2.5676258799400831E-2</v>
      </c>
      <c r="D1698">
        <f t="shared" si="159"/>
        <v>54671.280469000005</v>
      </c>
      <c r="E1698">
        <f t="shared" si="160"/>
        <v>1</v>
      </c>
      <c r="F1698" s="2">
        <f t="shared" si="161"/>
        <v>2.5676258799400831E-2</v>
      </c>
      <c r="G1698" s="2">
        <f t="shared" si="157"/>
        <v>85.081005249623232</v>
      </c>
      <c r="H1698" s="2">
        <f t="shared" si="158"/>
        <v>251.1797997708494</v>
      </c>
    </row>
    <row r="1699" spans="1:8" x14ac:dyDescent="0.3">
      <c r="A1699" s="1">
        <v>44249</v>
      </c>
      <c r="B1699">
        <v>54207.320312999997</v>
      </c>
      <c r="C1699" s="2">
        <f t="shared" si="156"/>
        <v>-5.7918459634807129E-2</v>
      </c>
      <c r="D1699">
        <f t="shared" si="159"/>
        <v>55082.942969000003</v>
      </c>
      <c r="E1699">
        <f t="shared" si="160"/>
        <v>0</v>
      </c>
      <c r="F1699" s="2">
        <f t="shared" si="161"/>
        <v>-5.7918459634807129E-2</v>
      </c>
      <c r="G1699" s="2">
        <f t="shared" si="157"/>
        <v>80.153244481384121</v>
      </c>
      <c r="H1699" s="2">
        <f t="shared" si="158"/>
        <v>236.63185267674251</v>
      </c>
    </row>
    <row r="1700" spans="1:8" x14ac:dyDescent="0.3">
      <c r="A1700" s="1">
        <v>44250</v>
      </c>
      <c r="B1700">
        <v>48824.425780999998</v>
      </c>
      <c r="C1700" s="2">
        <f t="shared" si="156"/>
        <v>-9.9301985431459738E-2</v>
      </c>
      <c r="D1700">
        <f t="shared" si="159"/>
        <v>54511.868750200003</v>
      </c>
      <c r="E1700">
        <f t="shared" si="160"/>
        <v>0</v>
      </c>
      <c r="F1700" s="2">
        <f t="shared" si="161"/>
        <v>0</v>
      </c>
      <c r="G1700" s="2">
        <f t="shared" si="157"/>
        <v>72.193868165609487</v>
      </c>
      <c r="H1700" s="2">
        <f t="shared" si="158"/>
        <v>236.63185267674251</v>
      </c>
    </row>
    <row r="1701" spans="1:8" x14ac:dyDescent="0.3">
      <c r="A1701" s="1">
        <v>44251</v>
      </c>
      <c r="B1701">
        <v>49705.332030999998</v>
      </c>
      <c r="C1701" s="2">
        <f t="shared" si="156"/>
        <v>1.8042326886777316E-2</v>
      </c>
      <c r="D1701">
        <f t="shared" si="159"/>
        <v>53275.3085938</v>
      </c>
      <c r="E1701">
        <f t="shared" si="160"/>
        <v>0</v>
      </c>
      <c r="F1701" s="2">
        <f t="shared" si="161"/>
        <v>0</v>
      </c>
      <c r="G1701" s="2">
        <f t="shared" si="157"/>
        <v>73.496413534274325</v>
      </c>
      <c r="H1701" s="2">
        <f t="shared" si="158"/>
        <v>236.63185267674251</v>
      </c>
    </row>
    <row r="1702" spans="1:8" x14ac:dyDescent="0.3">
      <c r="A1702" s="1">
        <v>44252</v>
      </c>
      <c r="B1702">
        <v>47093.851562999997</v>
      </c>
      <c r="C1702" s="2">
        <f t="shared" si="156"/>
        <v>-5.2539241994627117E-2</v>
      </c>
      <c r="D1702">
        <f t="shared" si="159"/>
        <v>51474.175000200004</v>
      </c>
      <c r="E1702">
        <f t="shared" si="160"/>
        <v>0</v>
      </c>
      <c r="F1702" s="2">
        <f t="shared" si="161"/>
        <v>0</v>
      </c>
      <c r="G1702" s="2">
        <f t="shared" si="157"/>
        <v>69.634967677859905</v>
      </c>
      <c r="H1702" s="2">
        <f t="shared" si="158"/>
        <v>236.63185267674251</v>
      </c>
    </row>
    <row r="1703" spans="1:8" x14ac:dyDescent="0.3">
      <c r="A1703" s="1">
        <v>44253</v>
      </c>
      <c r="B1703">
        <v>46339.761719000002</v>
      </c>
      <c r="C1703" s="2">
        <f t="shared" si="156"/>
        <v>-1.6012490356436593E-2</v>
      </c>
      <c r="D1703">
        <f t="shared" si="159"/>
        <v>49234.138281400003</v>
      </c>
      <c r="E1703">
        <f t="shared" si="160"/>
        <v>0</v>
      </c>
      <c r="F1703" s="2">
        <f t="shared" si="161"/>
        <v>0</v>
      </c>
      <c r="G1703" s="2">
        <f t="shared" si="157"/>
        <v>68.519938429447393</v>
      </c>
      <c r="H1703" s="2">
        <f t="shared" si="158"/>
        <v>236.63185267674251</v>
      </c>
    </row>
    <row r="1704" spans="1:8" x14ac:dyDescent="0.3">
      <c r="A1704" s="1">
        <v>44254</v>
      </c>
      <c r="B1704">
        <v>46188.453125</v>
      </c>
      <c r="C1704" s="2">
        <f t="shared" si="156"/>
        <v>-3.2652000870768694E-3</v>
      </c>
      <c r="D1704">
        <f t="shared" si="159"/>
        <v>47630.364843800002</v>
      </c>
      <c r="E1704">
        <f t="shared" si="160"/>
        <v>0</v>
      </c>
      <c r="F1704" s="2">
        <f t="shared" si="161"/>
        <v>0</v>
      </c>
      <c r="G1704" s="2">
        <f t="shared" si="157"/>
        <v>68.296207120521061</v>
      </c>
      <c r="H1704" s="2">
        <f t="shared" si="158"/>
        <v>236.63185267674251</v>
      </c>
    </row>
    <row r="1705" spans="1:8" x14ac:dyDescent="0.3">
      <c r="A1705" s="1">
        <v>44255</v>
      </c>
      <c r="B1705">
        <v>45137.769530999998</v>
      </c>
      <c r="C1705" s="2">
        <f t="shared" si="156"/>
        <v>-2.2747754534158893E-2</v>
      </c>
      <c r="D1705">
        <f t="shared" si="159"/>
        <v>46893.033593799999</v>
      </c>
      <c r="E1705">
        <f t="shared" si="160"/>
        <v>0</v>
      </c>
      <c r="F1705" s="2">
        <f t="shared" si="161"/>
        <v>0</v>
      </c>
      <c r="G1705" s="2">
        <f t="shared" si="157"/>
        <v>66.742621765329375</v>
      </c>
      <c r="H1705" s="2">
        <f t="shared" si="158"/>
        <v>236.63185267674251</v>
      </c>
    </row>
    <row r="1706" spans="1:8" x14ac:dyDescent="0.3">
      <c r="A1706" s="1">
        <v>44256</v>
      </c>
      <c r="B1706">
        <v>49631.242187999997</v>
      </c>
      <c r="C1706" s="2">
        <f t="shared" si="156"/>
        <v>9.9550170593031728E-2</v>
      </c>
      <c r="D1706">
        <f t="shared" si="159"/>
        <v>46878.215625199999</v>
      </c>
      <c r="E1706">
        <f t="shared" si="160"/>
        <v>1</v>
      </c>
      <c r="F1706" s="2">
        <f t="shared" si="161"/>
        <v>0</v>
      </c>
      <c r="G1706" s="2">
        <f t="shared" si="157"/>
        <v>73.386861147894109</v>
      </c>
      <c r="H1706" s="2">
        <f t="shared" si="158"/>
        <v>236.63185267674251</v>
      </c>
    </row>
    <row r="1707" spans="1:8" x14ac:dyDescent="0.3">
      <c r="A1707" s="1">
        <v>44257</v>
      </c>
      <c r="B1707">
        <v>48378.988280999998</v>
      </c>
      <c r="C1707" s="2">
        <f t="shared" si="156"/>
        <v>-2.5231161901137611E-2</v>
      </c>
      <c r="D1707">
        <f t="shared" si="159"/>
        <v>47135.242968799997</v>
      </c>
      <c r="E1707">
        <f t="shared" si="160"/>
        <v>1</v>
      </c>
      <c r="F1707" s="2">
        <f t="shared" si="161"/>
        <v>-2.5231161901137611E-2</v>
      </c>
      <c r="G1707" s="2">
        <f t="shared" si="157"/>
        <v>71.535225372855294</v>
      </c>
      <c r="H1707" s="2">
        <f t="shared" si="158"/>
        <v>230.66135609088948</v>
      </c>
    </row>
    <row r="1708" spans="1:8" x14ac:dyDescent="0.3">
      <c r="A1708" s="1">
        <v>44258</v>
      </c>
      <c r="B1708">
        <v>50538.242187999997</v>
      </c>
      <c r="C1708" s="2">
        <f t="shared" si="156"/>
        <v>4.4632059985595163E-2</v>
      </c>
      <c r="D1708">
        <f t="shared" si="159"/>
        <v>47974.939062600002</v>
      </c>
      <c r="E1708">
        <f t="shared" si="160"/>
        <v>1</v>
      </c>
      <c r="F1708" s="2">
        <f t="shared" si="161"/>
        <v>4.4632059985595163E-2</v>
      </c>
      <c r="G1708" s="2">
        <f t="shared" si="157"/>
        <v>74.727989842779635</v>
      </c>
      <c r="H1708" s="2">
        <f t="shared" si="158"/>
        <v>240.9562475722968</v>
      </c>
    </row>
    <row r="1709" spans="1:8" x14ac:dyDescent="0.3">
      <c r="A1709" s="1">
        <v>44259</v>
      </c>
      <c r="B1709">
        <v>48561.167969000002</v>
      </c>
      <c r="C1709" s="2">
        <f t="shared" si="156"/>
        <v>-3.9120359818716421E-2</v>
      </c>
      <c r="D1709">
        <f t="shared" si="159"/>
        <v>48449.482031400003</v>
      </c>
      <c r="E1709">
        <f t="shared" si="160"/>
        <v>1</v>
      </c>
      <c r="F1709" s="2">
        <f t="shared" si="161"/>
        <v>-3.9120359818716421E-2</v>
      </c>
      <c r="G1709" s="2">
        <f t="shared" si="157"/>
        <v>71.804603991600715</v>
      </c>
      <c r="H1709" s="2">
        <f t="shared" si="158"/>
        <v>231.52995246670085</v>
      </c>
    </row>
    <row r="1710" spans="1:8" x14ac:dyDescent="0.3">
      <c r="A1710" s="1">
        <v>44260</v>
      </c>
      <c r="B1710">
        <v>48927.304687999997</v>
      </c>
      <c r="C1710" s="2">
        <f t="shared" si="156"/>
        <v>7.5397016652014592E-3</v>
      </c>
      <c r="D1710">
        <f t="shared" si="159"/>
        <v>49207.389062800001</v>
      </c>
      <c r="E1710">
        <f t="shared" si="160"/>
        <v>0</v>
      </c>
      <c r="F1710" s="2">
        <f t="shared" si="161"/>
        <v>7.5397016652014592E-3</v>
      </c>
      <c r="G1710" s="2">
        <f t="shared" si="157"/>
        <v>72.345989283885316</v>
      </c>
      <c r="H1710" s="2">
        <f t="shared" si="158"/>
        <v>233.27561923485806</v>
      </c>
    </row>
    <row r="1711" spans="1:8" x14ac:dyDescent="0.3">
      <c r="A1711" s="1">
        <v>44261</v>
      </c>
      <c r="B1711">
        <v>48912.382812999997</v>
      </c>
      <c r="C1711" s="2">
        <f t="shared" si="156"/>
        <v>-3.0498052355742988E-4</v>
      </c>
      <c r="D1711">
        <f t="shared" si="159"/>
        <v>49063.617187800002</v>
      </c>
      <c r="E1711">
        <f t="shared" si="160"/>
        <v>0</v>
      </c>
      <c r="F1711" s="2">
        <f t="shared" si="161"/>
        <v>0</v>
      </c>
      <c r="G1711" s="2">
        <f t="shared" si="157"/>
        <v>72.323925166196233</v>
      </c>
      <c r="H1711" s="2">
        <f t="shared" si="158"/>
        <v>233.27561923485806</v>
      </c>
    </row>
    <row r="1712" spans="1:8" x14ac:dyDescent="0.3">
      <c r="A1712" s="1">
        <v>44262</v>
      </c>
      <c r="B1712">
        <v>51206.691405999998</v>
      </c>
      <c r="C1712" s="2">
        <f t="shared" si="156"/>
        <v>4.6906498130984797E-2</v>
      </c>
      <c r="D1712">
        <f t="shared" si="159"/>
        <v>49629.157812800004</v>
      </c>
      <c r="E1712">
        <f t="shared" si="160"/>
        <v>1</v>
      </c>
      <c r="F1712" s="2">
        <f t="shared" si="161"/>
        <v>0</v>
      </c>
      <c r="G1712" s="2">
        <f t="shared" si="157"/>
        <v>75.716387226829895</v>
      </c>
      <c r="H1712" s="2">
        <f t="shared" si="158"/>
        <v>233.27561923485806</v>
      </c>
    </row>
    <row r="1713" spans="1:8" x14ac:dyDescent="0.3">
      <c r="A1713" s="1">
        <v>44263</v>
      </c>
      <c r="B1713">
        <v>52246.523437999997</v>
      </c>
      <c r="C1713" s="2">
        <f t="shared" si="156"/>
        <v>2.0306565479021765E-2</v>
      </c>
      <c r="D1713">
        <f t="shared" si="159"/>
        <v>49970.814062800004</v>
      </c>
      <c r="E1713">
        <f t="shared" si="160"/>
        <v>1</v>
      </c>
      <c r="F1713" s="2">
        <f t="shared" si="161"/>
        <v>2.0306565479021765E-2</v>
      </c>
      <c r="G1713" s="2">
        <f t="shared" si="157"/>
        <v>77.253927001886481</v>
      </c>
      <c r="H1713" s="2">
        <f t="shared" si="158"/>
        <v>238.01264587151005</v>
      </c>
    </row>
    <row r="1714" spans="1:8" x14ac:dyDescent="0.3">
      <c r="A1714" s="1">
        <v>44264</v>
      </c>
      <c r="B1714">
        <v>54824.117187999997</v>
      </c>
      <c r="C1714" s="2">
        <f t="shared" si="156"/>
        <v>4.9335220420144932E-2</v>
      </c>
      <c r="D1714">
        <f t="shared" si="159"/>
        <v>51223.403906600004</v>
      </c>
      <c r="E1714">
        <f t="shared" si="160"/>
        <v>1</v>
      </c>
      <c r="F1714" s="2">
        <f t="shared" si="161"/>
        <v>4.9335220420144932E-2</v>
      </c>
      <c r="G1714" s="2">
        <f t="shared" si="157"/>
        <v>81.065266518846343</v>
      </c>
      <c r="H1714" s="2">
        <f t="shared" si="158"/>
        <v>249.75505221836289</v>
      </c>
    </row>
    <row r="1715" spans="1:8" x14ac:dyDescent="0.3">
      <c r="A1715" s="1">
        <v>44265</v>
      </c>
      <c r="B1715">
        <v>56008.550780999998</v>
      </c>
      <c r="C1715" s="2">
        <f t="shared" si="156"/>
        <v>2.1604243784508315E-2</v>
      </c>
      <c r="D1715">
        <f t="shared" si="159"/>
        <v>52639.653125199999</v>
      </c>
      <c r="E1715">
        <f t="shared" si="160"/>
        <v>1</v>
      </c>
      <c r="F1715" s="2">
        <f t="shared" si="161"/>
        <v>2.1604243784508315E-2</v>
      </c>
      <c r="G1715" s="2">
        <f t="shared" si="157"/>
        <v>82.816620299175639</v>
      </c>
      <c r="H1715" s="2">
        <f t="shared" si="158"/>
        <v>255.15082125290101</v>
      </c>
    </row>
    <row r="1716" spans="1:8" x14ac:dyDescent="0.3">
      <c r="A1716" s="1">
        <v>44266</v>
      </c>
      <c r="B1716">
        <v>57805.121094000002</v>
      </c>
      <c r="C1716" s="2">
        <f t="shared" si="156"/>
        <v>3.2076714857786737E-2</v>
      </c>
      <c r="D1716">
        <f t="shared" si="159"/>
        <v>54418.200781400003</v>
      </c>
      <c r="E1716">
        <f t="shared" si="160"/>
        <v>1</v>
      </c>
      <c r="F1716" s="2">
        <f t="shared" si="161"/>
        <v>3.2076714857786737E-2</v>
      </c>
      <c r="G1716" s="2">
        <f t="shared" si="157"/>
        <v>85.473105413997885</v>
      </c>
      <c r="H1716" s="2">
        <f t="shared" si="158"/>
        <v>263.33522139196043</v>
      </c>
    </row>
    <row r="1717" spans="1:8" x14ac:dyDescent="0.3">
      <c r="A1717" s="1">
        <v>44267</v>
      </c>
      <c r="B1717">
        <v>57332.089844000002</v>
      </c>
      <c r="C1717" s="2">
        <f t="shared" si="156"/>
        <v>-8.1832066268103798E-3</v>
      </c>
      <c r="D1717">
        <f t="shared" si="159"/>
        <v>55643.280469000005</v>
      </c>
      <c r="E1717">
        <f t="shared" si="160"/>
        <v>1</v>
      </c>
      <c r="F1717" s="2">
        <f t="shared" si="161"/>
        <v>-8.1832066268103798E-3</v>
      </c>
      <c r="G1717" s="2">
        <f t="shared" si="157"/>
        <v>84.773661331359989</v>
      </c>
      <c r="H1717" s="2">
        <f t="shared" si="158"/>
        <v>261.18029486319318</v>
      </c>
    </row>
    <row r="1718" spans="1:8" x14ac:dyDescent="0.3">
      <c r="A1718" s="1">
        <v>44268</v>
      </c>
      <c r="B1718">
        <v>61243.085937999997</v>
      </c>
      <c r="C1718" s="2">
        <f t="shared" si="156"/>
        <v>6.8216527683567341E-2</v>
      </c>
      <c r="D1718">
        <f t="shared" si="159"/>
        <v>57442.592969000005</v>
      </c>
      <c r="E1718">
        <f t="shared" si="160"/>
        <v>1</v>
      </c>
      <c r="F1718" s="2">
        <f t="shared" si="161"/>
        <v>6.8216527683567341E-2</v>
      </c>
      <c r="G1718" s="2">
        <f t="shared" si="157"/>
        <v>90.556626146408064</v>
      </c>
      <c r="H1718" s="2">
        <f t="shared" si="158"/>
        <v>278.99710767813048</v>
      </c>
    </row>
    <row r="1719" spans="1:8" x14ac:dyDescent="0.3">
      <c r="A1719" s="1">
        <v>44269</v>
      </c>
      <c r="B1719">
        <v>59302.316405999998</v>
      </c>
      <c r="C1719" s="2">
        <f t="shared" si="156"/>
        <v>-3.1689610382545919E-2</v>
      </c>
      <c r="D1719">
        <f t="shared" si="159"/>
        <v>58338.232812599999</v>
      </c>
      <c r="E1719">
        <f t="shared" si="160"/>
        <v>1</v>
      </c>
      <c r="F1719" s="2">
        <f t="shared" si="161"/>
        <v>-3.1689610382545919E-2</v>
      </c>
      <c r="G1719" s="2">
        <f t="shared" si="157"/>
        <v>87.686921946270516</v>
      </c>
      <c r="H1719" s="2">
        <f t="shared" si="158"/>
        <v>270.15579803795333</v>
      </c>
    </row>
    <row r="1720" spans="1:8" x14ac:dyDescent="0.3">
      <c r="A1720" s="1">
        <v>44270</v>
      </c>
      <c r="B1720">
        <v>55907.199219000002</v>
      </c>
      <c r="C1720" s="2">
        <f t="shared" si="156"/>
        <v>-5.7251004560363028E-2</v>
      </c>
      <c r="D1720">
        <f t="shared" si="159"/>
        <v>58317.962500200003</v>
      </c>
      <c r="E1720">
        <f t="shared" si="160"/>
        <v>0</v>
      </c>
      <c r="F1720" s="2">
        <f t="shared" si="161"/>
        <v>-5.7251004560363028E-2</v>
      </c>
      <c r="G1720" s="2">
        <f t="shared" si="157"/>
        <v>82.666757578040389</v>
      </c>
      <c r="H1720" s="2">
        <f t="shared" si="158"/>
        <v>254.68910721247394</v>
      </c>
    </row>
    <row r="1721" spans="1:8" x14ac:dyDescent="0.3">
      <c r="A1721" s="1">
        <v>44271</v>
      </c>
      <c r="B1721">
        <v>56804.902344000002</v>
      </c>
      <c r="C1721" s="2">
        <f t="shared" si="156"/>
        <v>1.6057021949597461E-2</v>
      </c>
      <c r="D1721">
        <f t="shared" si="159"/>
        <v>58117.918750199999</v>
      </c>
      <c r="E1721">
        <f t="shared" si="160"/>
        <v>0</v>
      </c>
      <c r="F1721" s="2">
        <f t="shared" si="161"/>
        <v>0</v>
      </c>
      <c r="G1721" s="2">
        <f t="shared" si="157"/>
        <v>83.994139518973043</v>
      </c>
      <c r="H1721" s="2">
        <f t="shared" si="158"/>
        <v>254.68910721247394</v>
      </c>
    </row>
    <row r="1722" spans="1:8" x14ac:dyDescent="0.3">
      <c r="A1722" s="1">
        <v>44272</v>
      </c>
      <c r="B1722">
        <v>58870.894530999998</v>
      </c>
      <c r="C1722" s="2">
        <f t="shared" si="156"/>
        <v>3.6369962833290748E-2</v>
      </c>
      <c r="D1722">
        <f t="shared" si="159"/>
        <v>58425.679687600001</v>
      </c>
      <c r="E1722">
        <f t="shared" si="160"/>
        <v>1</v>
      </c>
      <c r="F1722" s="2">
        <f t="shared" si="161"/>
        <v>0</v>
      </c>
      <c r="G1722" s="2">
        <f t="shared" si="157"/>
        <v>87.049003251492337</v>
      </c>
      <c r="H1722" s="2">
        <f t="shared" si="158"/>
        <v>254.68910721247394</v>
      </c>
    </row>
    <row r="1723" spans="1:8" x14ac:dyDescent="0.3">
      <c r="A1723" s="1">
        <v>44273</v>
      </c>
      <c r="B1723">
        <v>57858.921875</v>
      </c>
      <c r="C1723" s="2">
        <f t="shared" si="156"/>
        <v>-1.7189693889688051E-2</v>
      </c>
      <c r="D1723">
        <f t="shared" si="159"/>
        <v>57748.846875000003</v>
      </c>
      <c r="E1723">
        <f t="shared" si="160"/>
        <v>1</v>
      </c>
      <c r="F1723" s="2">
        <f t="shared" si="161"/>
        <v>-1.7189693889688051E-2</v>
      </c>
      <c r="G1723" s="2">
        <f t="shared" si="157"/>
        <v>85.552657532196719</v>
      </c>
      <c r="H1723" s="2">
        <f t="shared" si="158"/>
        <v>250.31107942245359</v>
      </c>
    </row>
    <row r="1724" spans="1:8" x14ac:dyDescent="0.3">
      <c r="A1724" s="1">
        <v>44274</v>
      </c>
      <c r="B1724">
        <v>58346.652344000002</v>
      </c>
      <c r="C1724" s="2">
        <f t="shared" si="156"/>
        <v>8.4296501420075831E-3</v>
      </c>
      <c r="D1724">
        <f t="shared" si="159"/>
        <v>57557.714062600004</v>
      </c>
      <c r="E1724">
        <f t="shared" si="160"/>
        <v>1</v>
      </c>
      <c r="F1724" s="2">
        <f t="shared" si="161"/>
        <v>8.4296501420075831E-3</v>
      </c>
      <c r="G1724" s="2">
        <f t="shared" si="157"/>
        <v>86.273836503912122</v>
      </c>
      <c r="H1724" s="2">
        <f t="shared" si="158"/>
        <v>252.42111424865314</v>
      </c>
    </row>
    <row r="1725" spans="1:8" x14ac:dyDescent="0.3">
      <c r="A1725" s="1">
        <v>44275</v>
      </c>
      <c r="B1725">
        <v>58313.644530999998</v>
      </c>
      <c r="C1725" s="2">
        <f t="shared" si="156"/>
        <v>-5.6571905454649851E-4</v>
      </c>
      <c r="D1725">
        <f t="shared" si="159"/>
        <v>58039.003125000003</v>
      </c>
      <c r="E1725">
        <f t="shared" si="160"/>
        <v>1</v>
      </c>
      <c r="F1725" s="2">
        <f t="shared" si="161"/>
        <v>-5.6571905454649851E-4</v>
      </c>
      <c r="G1725" s="2">
        <f t="shared" si="157"/>
        <v>86.225029750693025</v>
      </c>
      <c r="H1725" s="2">
        <f t="shared" si="158"/>
        <v>252.27831481455283</v>
      </c>
    </row>
    <row r="1726" spans="1:8" x14ac:dyDescent="0.3">
      <c r="A1726" s="1">
        <v>44276</v>
      </c>
      <c r="B1726">
        <v>57523.421875</v>
      </c>
      <c r="C1726" s="2">
        <f t="shared" si="156"/>
        <v>-1.3551247951582024E-2</v>
      </c>
      <c r="D1726">
        <f t="shared" si="159"/>
        <v>58182.7070312</v>
      </c>
      <c r="E1726">
        <f t="shared" si="160"/>
        <v>0</v>
      </c>
      <c r="F1726" s="2">
        <f t="shared" si="161"/>
        <v>-1.3551247951582024E-2</v>
      </c>
      <c r="G1726" s="2">
        <f t="shared" si="157"/>
        <v>85.056572992908841</v>
      </c>
      <c r="H1726" s="2">
        <f t="shared" si="158"/>
        <v>248.85962881769356</v>
      </c>
    </row>
    <row r="1727" spans="1:8" x14ac:dyDescent="0.3">
      <c r="A1727" s="1">
        <v>44277</v>
      </c>
      <c r="B1727">
        <v>54529.144530999998</v>
      </c>
      <c r="C1727" s="2">
        <f t="shared" si="156"/>
        <v>-5.2053185405184221E-2</v>
      </c>
      <c r="D1727">
        <f t="shared" si="159"/>
        <v>57314.357031200001</v>
      </c>
      <c r="E1727">
        <f t="shared" si="160"/>
        <v>0</v>
      </c>
      <c r="F1727" s="2">
        <f t="shared" si="161"/>
        <v>0</v>
      </c>
      <c r="G1727" s="2">
        <f t="shared" si="157"/>
        <v>80.629107428979367</v>
      </c>
      <c r="H1727" s="2">
        <f t="shared" si="158"/>
        <v>248.85962881769356</v>
      </c>
    </row>
    <row r="1728" spans="1:8" x14ac:dyDescent="0.3">
      <c r="A1728" s="1">
        <v>44278</v>
      </c>
      <c r="B1728">
        <v>54738.945312999997</v>
      </c>
      <c r="C1728" s="2">
        <f t="shared" si="156"/>
        <v>3.8474981370875128E-3</v>
      </c>
      <c r="D1728">
        <f t="shared" si="159"/>
        <v>56690.361718799999</v>
      </c>
      <c r="E1728">
        <f t="shared" si="160"/>
        <v>0</v>
      </c>
      <c r="F1728" s="2">
        <f t="shared" si="161"/>
        <v>0</v>
      </c>
      <c r="G1728" s="2">
        <f t="shared" si="157"/>
        <v>80.939327769607388</v>
      </c>
      <c r="H1728" s="2">
        <f t="shared" si="158"/>
        <v>248.85962881769356</v>
      </c>
    </row>
    <row r="1729" spans="1:8" x14ac:dyDescent="0.3">
      <c r="A1729" s="1">
        <v>44279</v>
      </c>
      <c r="B1729">
        <v>52774.265625</v>
      </c>
      <c r="C1729" s="2">
        <f t="shared" si="156"/>
        <v>-3.5891807501329476E-2</v>
      </c>
      <c r="D1729">
        <f t="shared" si="159"/>
        <v>55575.884375000001</v>
      </c>
      <c r="E1729">
        <f t="shared" si="160"/>
        <v>0</v>
      </c>
      <c r="F1729" s="2">
        <f t="shared" si="161"/>
        <v>0</v>
      </c>
      <c r="G1729" s="2">
        <f t="shared" si="157"/>
        <v>78.03426899801363</v>
      </c>
      <c r="H1729" s="2">
        <f t="shared" si="158"/>
        <v>248.85962881769356</v>
      </c>
    </row>
    <row r="1730" spans="1:8" x14ac:dyDescent="0.3">
      <c r="A1730" s="1">
        <v>44280</v>
      </c>
      <c r="B1730">
        <v>51704.160155999998</v>
      </c>
      <c r="C1730" s="2">
        <f t="shared" si="156"/>
        <v>-2.0277031926960176E-2</v>
      </c>
      <c r="D1730">
        <f t="shared" si="159"/>
        <v>54253.987500000003</v>
      </c>
      <c r="E1730">
        <f t="shared" si="160"/>
        <v>0</v>
      </c>
      <c r="F1730" s="2">
        <f t="shared" si="161"/>
        <v>0</v>
      </c>
      <c r="G1730" s="2">
        <f t="shared" si="157"/>
        <v>76.451965634143903</v>
      </c>
      <c r="H1730" s="2">
        <f t="shared" si="158"/>
        <v>248.85962881769356</v>
      </c>
    </row>
    <row r="1731" spans="1:8" x14ac:dyDescent="0.3">
      <c r="A1731" s="1">
        <v>44281</v>
      </c>
      <c r="B1731">
        <v>55137.3125</v>
      </c>
      <c r="C1731" s="2">
        <f t="shared" si="156"/>
        <v>6.6399924757342799E-2</v>
      </c>
      <c r="D1731">
        <f t="shared" si="159"/>
        <v>53776.765625</v>
      </c>
      <c r="E1731">
        <f t="shared" si="160"/>
        <v>1</v>
      </c>
      <c r="F1731" s="2">
        <f t="shared" si="161"/>
        <v>0</v>
      </c>
      <c r="G1731" s="2">
        <f t="shared" si="157"/>
        <v>81.528370399802014</v>
      </c>
      <c r="H1731" s="2">
        <f t="shared" si="158"/>
        <v>248.85962881769356</v>
      </c>
    </row>
    <row r="1732" spans="1:8" x14ac:dyDescent="0.3">
      <c r="A1732" s="1">
        <v>44282</v>
      </c>
      <c r="B1732">
        <v>55973.511719000002</v>
      </c>
      <c r="C1732" s="2">
        <f t="shared" ref="C1732:C1795" si="162">B1732/B1731-1</f>
        <v>1.5165759466422957E-2</v>
      </c>
      <c r="D1732">
        <f t="shared" si="159"/>
        <v>54065.639062599999</v>
      </c>
      <c r="E1732">
        <f t="shared" si="160"/>
        <v>1</v>
      </c>
      <c r="F1732" s="2">
        <f t="shared" si="161"/>
        <v>1.5165759466422957E-2</v>
      </c>
      <c r="G1732" s="2">
        <f t="shared" ref="G1732:G1795" si="163">(1+C1732)*G1731</f>
        <v>82.764810054974845</v>
      </c>
      <c r="H1732" s="2">
        <f t="shared" ref="H1732:H1795" si="164">(1+F1732)*H1731</f>
        <v>252.633774089246</v>
      </c>
    </row>
    <row r="1733" spans="1:8" x14ac:dyDescent="0.3">
      <c r="A1733" s="1">
        <v>44283</v>
      </c>
      <c r="B1733">
        <v>55950.746094000002</v>
      </c>
      <c r="C1733" s="2">
        <f t="shared" si="162"/>
        <v>-4.0672139911979155E-4</v>
      </c>
      <c r="D1733">
        <f t="shared" si="159"/>
        <v>54307.999218800003</v>
      </c>
      <c r="E1733">
        <f t="shared" si="160"/>
        <v>1</v>
      </c>
      <c r="F1733" s="2">
        <f t="shared" si="161"/>
        <v>-4.0672139911979155E-4</v>
      </c>
      <c r="G1733" s="2">
        <f t="shared" si="163"/>
        <v>82.731147835631404</v>
      </c>
      <c r="H1733" s="2">
        <f t="shared" si="164"/>
        <v>252.53102252718352</v>
      </c>
    </row>
    <row r="1734" spans="1:8" x14ac:dyDescent="0.3">
      <c r="A1734" s="1">
        <v>44284</v>
      </c>
      <c r="B1734">
        <v>57750.199219000002</v>
      </c>
      <c r="C1734" s="2">
        <f t="shared" si="162"/>
        <v>3.2161378544922847E-2</v>
      </c>
      <c r="D1734">
        <f t="shared" si="159"/>
        <v>55303.185937599999</v>
      </c>
      <c r="E1734">
        <f t="shared" si="160"/>
        <v>1</v>
      </c>
      <c r="F1734" s="2">
        <f t="shared" si="161"/>
        <v>3.2161378544922847E-2</v>
      </c>
      <c r="G1734" s="2">
        <f t="shared" si="163"/>
        <v>85.391895598629119</v>
      </c>
      <c r="H1734" s="2">
        <f t="shared" si="164"/>
        <v>260.65276833701671</v>
      </c>
    </row>
    <row r="1735" spans="1:8" x14ac:dyDescent="0.3">
      <c r="A1735" s="1">
        <v>44285</v>
      </c>
      <c r="B1735">
        <v>58917.691405999998</v>
      </c>
      <c r="C1735" s="2">
        <f t="shared" si="162"/>
        <v>2.0216245186837067E-2</v>
      </c>
      <c r="D1735">
        <f t="shared" ref="D1735:D1798" si="165">AVERAGE(B1731:B1735)</f>
        <v>56745.892187600002</v>
      </c>
      <c r="E1735">
        <f t="shared" ref="E1735:E1798" si="166">IF(B1735&gt;D1735,1,0)</f>
        <v>1</v>
      </c>
      <c r="F1735" s="2">
        <f t="shared" si="161"/>
        <v>2.0216245186837067E-2</v>
      </c>
      <c r="G1735" s="2">
        <f t="shared" si="163"/>
        <v>87.118199097019797</v>
      </c>
      <c r="H1735" s="2">
        <f t="shared" si="164"/>
        <v>265.9221886103457</v>
      </c>
    </row>
    <row r="1736" spans="1:8" x14ac:dyDescent="0.3">
      <c r="A1736" s="1">
        <v>44286</v>
      </c>
      <c r="B1736">
        <v>58918.832030999998</v>
      </c>
      <c r="C1736" s="2">
        <f t="shared" si="162"/>
        <v>1.9359634988669328E-5</v>
      </c>
      <c r="D1736">
        <f t="shared" si="165"/>
        <v>57502.196093799997</v>
      </c>
      <c r="E1736">
        <f t="shared" si="166"/>
        <v>1</v>
      </c>
      <c r="F1736" s="2">
        <f t="shared" ref="F1736:F1799" si="167">E1735*C1736</f>
        <v>1.9359634988669328E-5</v>
      </c>
      <c r="G1736" s="2">
        <f t="shared" si="163"/>
        <v>87.119885673555189</v>
      </c>
      <c r="H1736" s="2">
        <f t="shared" si="164"/>
        <v>265.92733676685259</v>
      </c>
    </row>
    <row r="1737" spans="1:8" x14ac:dyDescent="0.3">
      <c r="A1737" s="1">
        <v>44287</v>
      </c>
      <c r="B1737">
        <v>59095.808594000002</v>
      </c>
      <c r="C1737" s="2">
        <f t="shared" si="162"/>
        <v>3.0037350860399048E-3</v>
      </c>
      <c r="D1737">
        <f t="shared" si="165"/>
        <v>58126.655468800003</v>
      </c>
      <c r="E1737">
        <f t="shared" si="166"/>
        <v>1</v>
      </c>
      <c r="F1737" s="2">
        <f t="shared" si="167"/>
        <v>3.0037350860399048E-3</v>
      </c>
      <c r="G1737" s="2">
        <f t="shared" si="163"/>
        <v>87.381570730844629</v>
      </c>
      <c r="H1737" s="2">
        <f t="shared" si="164"/>
        <v>266.72611203863636</v>
      </c>
    </row>
    <row r="1738" spans="1:8" x14ac:dyDescent="0.3">
      <c r="A1738" s="1">
        <v>44288</v>
      </c>
      <c r="B1738">
        <v>59384.3125</v>
      </c>
      <c r="C1738" s="2">
        <f t="shared" si="162"/>
        <v>4.8819690070083244E-3</v>
      </c>
      <c r="D1738">
        <f t="shared" si="165"/>
        <v>58813.368750000001</v>
      </c>
      <c r="E1738">
        <f t="shared" si="166"/>
        <v>1</v>
      </c>
      <c r="F1738" s="2">
        <f t="shared" si="167"/>
        <v>4.8819690070083244E-3</v>
      </c>
      <c r="G1738" s="2">
        <f t="shared" si="163"/>
        <v>87.808164850936322</v>
      </c>
      <c r="H1738" s="2">
        <f t="shared" si="164"/>
        <v>268.02826065096883</v>
      </c>
    </row>
    <row r="1739" spans="1:8" x14ac:dyDescent="0.3">
      <c r="A1739" s="1">
        <v>44289</v>
      </c>
      <c r="B1739">
        <v>57603.890625</v>
      </c>
      <c r="C1739" s="2">
        <f t="shared" si="162"/>
        <v>-2.9981350293480258E-2</v>
      </c>
      <c r="D1739">
        <f t="shared" si="165"/>
        <v>58784.107031200001</v>
      </c>
      <c r="E1739">
        <f t="shared" si="166"/>
        <v>0</v>
      </c>
      <c r="F1739" s="2">
        <f t="shared" si="167"/>
        <v>-2.9981350293480258E-2</v>
      </c>
      <c r="G1739" s="2">
        <f t="shared" si="163"/>
        <v>85.175557501912735</v>
      </c>
      <c r="H1739" s="2">
        <f t="shared" si="164"/>
        <v>259.99241147983992</v>
      </c>
    </row>
    <row r="1740" spans="1:8" x14ac:dyDescent="0.3">
      <c r="A1740" s="1">
        <v>44290</v>
      </c>
      <c r="B1740">
        <v>58758.554687999997</v>
      </c>
      <c r="C1740" s="2">
        <f t="shared" si="162"/>
        <v>2.0044897149687824E-2</v>
      </c>
      <c r="D1740">
        <f t="shared" si="165"/>
        <v>58752.279687599999</v>
      </c>
      <c r="E1740">
        <f t="shared" si="166"/>
        <v>1</v>
      </c>
      <c r="F1740" s="2">
        <f t="shared" si="167"/>
        <v>0</v>
      </c>
      <c r="G1740" s="2">
        <f t="shared" si="163"/>
        <v>86.882892791705899</v>
      </c>
      <c r="H1740" s="2">
        <f t="shared" si="164"/>
        <v>259.99241147983992</v>
      </c>
    </row>
    <row r="1741" spans="1:8" x14ac:dyDescent="0.3">
      <c r="A1741" s="1">
        <v>44291</v>
      </c>
      <c r="B1741">
        <v>59057.878905999998</v>
      </c>
      <c r="C1741" s="2">
        <f t="shared" si="162"/>
        <v>5.0941385401559458E-3</v>
      </c>
      <c r="D1741">
        <f t="shared" si="165"/>
        <v>58780.089062600004</v>
      </c>
      <c r="E1741">
        <f t="shared" si="166"/>
        <v>1</v>
      </c>
      <c r="F1741" s="2">
        <f t="shared" si="167"/>
        <v>5.0941385401559458E-3</v>
      </c>
      <c r="G1741" s="2">
        <f t="shared" si="163"/>
        <v>87.325486284356359</v>
      </c>
      <c r="H1741" s="2">
        <f t="shared" si="164"/>
        <v>261.31684884330747</v>
      </c>
    </row>
    <row r="1742" spans="1:8" x14ac:dyDescent="0.3">
      <c r="A1742" s="1">
        <v>44292</v>
      </c>
      <c r="B1742">
        <v>58192.359375</v>
      </c>
      <c r="C1742" s="2">
        <f t="shared" si="162"/>
        <v>-1.4655445590546989E-2</v>
      </c>
      <c r="D1742">
        <f t="shared" si="165"/>
        <v>58599.399218799997</v>
      </c>
      <c r="E1742">
        <f t="shared" si="166"/>
        <v>0</v>
      </c>
      <c r="F1742" s="2">
        <f t="shared" si="167"/>
        <v>-1.4655445590546989E-2</v>
      </c>
      <c r="G1742" s="2">
        <f t="shared" si="163"/>
        <v>86.045692371447913</v>
      </c>
      <c r="H1742" s="2">
        <f t="shared" si="164"/>
        <v>257.4871339831912</v>
      </c>
    </row>
    <row r="1743" spans="1:8" x14ac:dyDescent="0.3">
      <c r="A1743" s="1">
        <v>44293</v>
      </c>
      <c r="B1743">
        <v>56048.9375</v>
      </c>
      <c r="C1743" s="2">
        <f t="shared" si="162"/>
        <v>-3.6833390122360865E-2</v>
      </c>
      <c r="D1743">
        <f t="shared" si="165"/>
        <v>57932.3242188</v>
      </c>
      <c r="E1743">
        <f t="shared" si="166"/>
        <v>0</v>
      </c>
      <c r="F1743" s="2">
        <f t="shared" si="167"/>
        <v>0</v>
      </c>
      <c r="G1743" s="2">
        <f t="shared" si="163"/>
        <v>82.876337815981728</v>
      </c>
      <c r="H1743" s="2">
        <f t="shared" si="164"/>
        <v>257.4871339831912</v>
      </c>
    </row>
    <row r="1744" spans="1:8" x14ac:dyDescent="0.3">
      <c r="A1744" s="1">
        <v>44294</v>
      </c>
      <c r="B1744">
        <v>58323.953125</v>
      </c>
      <c r="C1744" s="2">
        <f t="shared" si="162"/>
        <v>4.0589808236775271E-2</v>
      </c>
      <c r="D1744">
        <f t="shared" si="165"/>
        <v>58076.336718799997</v>
      </c>
      <c r="E1744">
        <f t="shared" si="166"/>
        <v>1</v>
      </c>
      <c r="F1744" s="2">
        <f t="shared" si="167"/>
        <v>0</v>
      </c>
      <c r="G1744" s="2">
        <f t="shared" si="163"/>
        <v>86.240272475298639</v>
      </c>
      <c r="H1744" s="2">
        <f t="shared" si="164"/>
        <v>257.4871339831912</v>
      </c>
    </row>
    <row r="1745" spans="1:8" x14ac:dyDescent="0.3">
      <c r="A1745" s="1">
        <v>44295</v>
      </c>
      <c r="B1745">
        <v>58245.003905999998</v>
      </c>
      <c r="C1745" s="2">
        <f t="shared" si="162"/>
        <v>-1.3536328518541918E-3</v>
      </c>
      <c r="D1745">
        <f t="shared" si="165"/>
        <v>57973.626562400001</v>
      </c>
      <c r="E1745">
        <f t="shared" si="166"/>
        <v>1</v>
      </c>
      <c r="F1745" s="2">
        <f t="shared" si="167"/>
        <v>-1.3536328518541918E-3</v>
      </c>
      <c r="G1745" s="2">
        <f t="shared" si="163"/>
        <v>86.123534809323218</v>
      </c>
      <c r="H1745" s="2">
        <f t="shared" si="164"/>
        <v>257.13859093970177</v>
      </c>
    </row>
    <row r="1746" spans="1:8" x14ac:dyDescent="0.3">
      <c r="A1746" s="1">
        <v>44296</v>
      </c>
      <c r="B1746">
        <v>59793.234375</v>
      </c>
      <c r="C1746" s="2">
        <f t="shared" si="162"/>
        <v>2.6581343723465878E-2</v>
      </c>
      <c r="D1746">
        <f t="shared" si="165"/>
        <v>58120.697656199998</v>
      </c>
      <c r="E1746">
        <f t="shared" si="166"/>
        <v>1</v>
      </c>
      <c r="F1746" s="2">
        <f t="shared" si="167"/>
        <v>2.6581343723465878E-2</v>
      </c>
      <c r="G1746" s="2">
        <f t="shared" si="163"/>
        <v>88.412814090769714</v>
      </c>
      <c r="H1746" s="2">
        <f t="shared" si="164"/>
        <v>263.97368021003768</v>
      </c>
    </row>
    <row r="1747" spans="1:8" x14ac:dyDescent="0.3">
      <c r="A1747" s="1">
        <v>44297</v>
      </c>
      <c r="B1747">
        <v>60204.964844000002</v>
      </c>
      <c r="C1747" s="2">
        <f t="shared" si="162"/>
        <v>6.885903953911976E-3</v>
      </c>
      <c r="D1747">
        <f t="shared" si="165"/>
        <v>58523.21875</v>
      </c>
      <c r="E1747">
        <f t="shared" si="166"/>
        <v>1</v>
      </c>
      <c r="F1747" s="2">
        <f t="shared" si="167"/>
        <v>6.885903953911976E-3</v>
      </c>
      <c r="G1747" s="2">
        <f t="shared" si="163"/>
        <v>89.021616236893834</v>
      </c>
      <c r="H1747" s="2">
        <f t="shared" si="164"/>
        <v>265.7913776183247</v>
      </c>
    </row>
    <row r="1748" spans="1:8" x14ac:dyDescent="0.3">
      <c r="A1748" s="1">
        <v>44298</v>
      </c>
      <c r="B1748">
        <v>59893.453125</v>
      </c>
      <c r="C1748" s="2">
        <f t="shared" si="162"/>
        <v>-5.1741865443685198E-3</v>
      </c>
      <c r="D1748">
        <f t="shared" si="165"/>
        <v>59292.121874999997</v>
      </c>
      <c r="E1748">
        <f t="shared" si="166"/>
        <v>1</v>
      </c>
      <c r="F1748" s="2">
        <f t="shared" si="167"/>
        <v>-5.1741865443685198E-3</v>
      </c>
      <c r="G1748" s="2">
        <f t="shared" si="163"/>
        <v>88.561001788002955</v>
      </c>
      <c r="H1748" s="2">
        <f t="shared" si="164"/>
        <v>264.41612344864279</v>
      </c>
    </row>
    <row r="1749" spans="1:8" x14ac:dyDescent="0.3">
      <c r="A1749" s="1">
        <v>44299</v>
      </c>
      <c r="B1749">
        <v>63503.457030999998</v>
      </c>
      <c r="C1749" s="2">
        <f t="shared" si="162"/>
        <v>6.0273764788044248E-2</v>
      </c>
      <c r="D1749">
        <f t="shared" si="165"/>
        <v>60328.022656200003</v>
      </c>
      <c r="E1749">
        <f t="shared" si="166"/>
        <v>1</v>
      </c>
      <c r="F1749" s="2">
        <f t="shared" si="167"/>
        <v>6.0273764788044248E-2</v>
      </c>
      <c r="G1749" s="2">
        <f t="shared" si="163"/>
        <v>93.898906779166609</v>
      </c>
      <c r="H1749" s="2">
        <f t="shared" si="164"/>
        <v>280.35347867955278</v>
      </c>
    </row>
    <row r="1750" spans="1:8" x14ac:dyDescent="0.3">
      <c r="A1750" s="1">
        <v>44300</v>
      </c>
      <c r="B1750">
        <v>63109.695312999997</v>
      </c>
      <c r="C1750" s="2">
        <f t="shared" si="162"/>
        <v>-6.2006343655870433E-3</v>
      </c>
      <c r="D1750">
        <f t="shared" si="165"/>
        <v>61300.960937600001</v>
      </c>
      <c r="E1750">
        <f t="shared" si="166"/>
        <v>1</v>
      </c>
      <c r="F1750" s="2">
        <f t="shared" si="167"/>
        <v>-6.2006343655870433E-3</v>
      </c>
      <c r="G1750" s="2">
        <f t="shared" si="163"/>
        <v>93.316673990900654</v>
      </c>
      <c r="H1750" s="2">
        <f t="shared" si="164"/>
        <v>278.61510926514046</v>
      </c>
    </row>
    <row r="1751" spans="1:8" x14ac:dyDescent="0.3">
      <c r="A1751" s="1">
        <v>44301</v>
      </c>
      <c r="B1751">
        <v>63314.011719000002</v>
      </c>
      <c r="C1751" s="2">
        <f t="shared" si="162"/>
        <v>3.2374804693109382E-3</v>
      </c>
      <c r="D1751">
        <f t="shared" si="165"/>
        <v>62005.116406400004</v>
      </c>
      <c r="E1751">
        <f t="shared" si="166"/>
        <v>1</v>
      </c>
      <c r="F1751" s="2">
        <f t="shared" si="167"/>
        <v>3.2374804693109382E-3</v>
      </c>
      <c r="G1751" s="2">
        <f t="shared" si="163"/>
        <v>93.618784900407249</v>
      </c>
      <c r="H1751" s="2">
        <f t="shared" si="164"/>
        <v>279.51712023984129</v>
      </c>
    </row>
    <row r="1752" spans="1:8" x14ac:dyDescent="0.3">
      <c r="A1752" s="1">
        <v>44302</v>
      </c>
      <c r="B1752">
        <v>61572.789062999997</v>
      </c>
      <c r="C1752" s="2">
        <f t="shared" si="162"/>
        <v>-2.7501379374409107E-2</v>
      </c>
      <c r="D1752">
        <f t="shared" si="165"/>
        <v>62278.681250200003</v>
      </c>
      <c r="E1752">
        <f t="shared" si="166"/>
        <v>0</v>
      </c>
      <c r="F1752" s="2">
        <f t="shared" si="167"/>
        <v>-2.7501379374409107E-2</v>
      </c>
      <c r="G1752" s="2">
        <f t="shared" si="163"/>
        <v>91.044139180289946</v>
      </c>
      <c r="H1752" s="2">
        <f t="shared" si="164"/>
        <v>271.83001387448309</v>
      </c>
    </row>
    <row r="1753" spans="1:8" x14ac:dyDescent="0.3">
      <c r="A1753" s="1">
        <v>44303</v>
      </c>
      <c r="B1753">
        <v>60683.820312999997</v>
      </c>
      <c r="C1753" s="2">
        <f t="shared" si="162"/>
        <v>-1.4437688523260217E-2</v>
      </c>
      <c r="D1753">
        <f t="shared" si="165"/>
        <v>62436.754687799999</v>
      </c>
      <c r="E1753">
        <f t="shared" si="166"/>
        <v>0</v>
      </c>
      <c r="F1753" s="2">
        <f t="shared" si="167"/>
        <v>0</v>
      </c>
      <c r="G1753" s="2">
        <f t="shared" si="163"/>
        <v>89.729672256936567</v>
      </c>
      <c r="H1753" s="2">
        <f t="shared" si="164"/>
        <v>271.83001387448309</v>
      </c>
    </row>
    <row r="1754" spans="1:8" x14ac:dyDescent="0.3">
      <c r="A1754" s="1">
        <v>44304</v>
      </c>
      <c r="B1754">
        <v>56216.183594000002</v>
      </c>
      <c r="C1754" s="2">
        <f t="shared" si="162"/>
        <v>-7.3621546830052065E-2</v>
      </c>
      <c r="D1754">
        <f t="shared" si="165"/>
        <v>60979.300000400006</v>
      </c>
      <c r="E1754">
        <f t="shared" si="166"/>
        <v>0</v>
      </c>
      <c r="F1754" s="2">
        <f t="shared" si="167"/>
        <v>0</v>
      </c>
      <c r="G1754" s="2">
        <f t="shared" si="163"/>
        <v>83.123634988827291</v>
      </c>
      <c r="H1754" s="2">
        <f t="shared" si="164"/>
        <v>271.83001387448309</v>
      </c>
    </row>
    <row r="1755" spans="1:8" x14ac:dyDescent="0.3">
      <c r="A1755" s="1">
        <v>44305</v>
      </c>
      <c r="B1755">
        <v>55724.265625</v>
      </c>
      <c r="C1755" s="2">
        <f t="shared" si="162"/>
        <v>-8.7504689495233601E-3</v>
      </c>
      <c r="D1755">
        <f t="shared" si="165"/>
        <v>59502.214062800005</v>
      </c>
      <c r="E1755">
        <f t="shared" si="166"/>
        <v>0</v>
      </c>
      <c r="F1755" s="2">
        <f t="shared" si="167"/>
        <v>0</v>
      </c>
      <c r="G1755" s="2">
        <f t="shared" si="163"/>
        <v>82.396264201886041</v>
      </c>
      <c r="H1755" s="2">
        <f t="shared" si="164"/>
        <v>271.83001387448309</v>
      </c>
    </row>
    <row r="1756" spans="1:8" x14ac:dyDescent="0.3">
      <c r="A1756" s="1">
        <v>44306</v>
      </c>
      <c r="B1756">
        <v>56473.03125</v>
      </c>
      <c r="C1756" s="2">
        <f t="shared" si="162"/>
        <v>1.3436976092944253E-2</v>
      </c>
      <c r="D1756">
        <f t="shared" si="165"/>
        <v>58134.017969</v>
      </c>
      <c r="E1756">
        <f t="shared" si="166"/>
        <v>0</v>
      </c>
      <c r="F1756" s="2">
        <f t="shared" si="167"/>
        <v>0</v>
      </c>
      <c r="G1756" s="2">
        <f t="shared" si="163"/>
        <v>83.503420834114706</v>
      </c>
      <c r="H1756" s="2">
        <f t="shared" si="164"/>
        <v>271.83001387448309</v>
      </c>
    </row>
    <row r="1757" spans="1:8" x14ac:dyDescent="0.3">
      <c r="A1757" s="1">
        <v>44307</v>
      </c>
      <c r="B1757">
        <v>53906.089844000002</v>
      </c>
      <c r="C1757" s="2">
        <f t="shared" si="162"/>
        <v>-4.5454287633975743E-2</v>
      </c>
      <c r="D1757">
        <f t="shared" si="165"/>
        <v>56600.6781252</v>
      </c>
      <c r="E1757">
        <f t="shared" si="166"/>
        <v>0</v>
      </c>
      <c r="F1757" s="2">
        <f t="shared" si="167"/>
        <v>0</v>
      </c>
      <c r="G1757" s="2">
        <f t="shared" si="163"/>
        <v>79.707832325099929</v>
      </c>
      <c r="H1757" s="2">
        <f t="shared" si="164"/>
        <v>271.83001387448309</v>
      </c>
    </row>
    <row r="1758" spans="1:8" x14ac:dyDescent="0.3">
      <c r="A1758" s="1">
        <v>44308</v>
      </c>
      <c r="B1758">
        <v>51762.273437999997</v>
      </c>
      <c r="C1758" s="2">
        <f t="shared" si="162"/>
        <v>-3.9769465976924767E-2</v>
      </c>
      <c r="D1758">
        <f t="shared" si="165"/>
        <v>54816.368750200003</v>
      </c>
      <c r="E1758">
        <f t="shared" si="166"/>
        <v>0</v>
      </c>
      <c r="F1758" s="2">
        <f t="shared" si="167"/>
        <v>0</v>
      </c>
      <c r="G1758" s="2">
        <f t="shared" si="163"/>
        <v>76.537894399352439</v>
      </c>
      <c r="H1758" s="2">
        <f t="shared" si="164"/>
        <v>271.83001387448309</v>
      </c>
    </row>
    <row r="1759" spans="1:8" x14ac:dyDescent="0.3">
      <c r="A1759" s="1">
        <v>44309</v>
      </c>
      <c r="B1759">
        <v>51093.652344000002</v>
      </c>
      <c r="C1759" s="2">
        <f t="shared" si="162"/>
        <v>-1.2917150843477887E-2</v>
      </c>
      <c r="D1759">
        <f t="shared" si="165"/>
        <v>53791.862500200004</v>
      </c>
      <c r="E1759">
        <f t="shared" si="166"/>
        <v>0</v>
      </c>
      <c r="F1759" s="2">
        <f t="shared" si="167"/>
        <v>0</v>
      </c>
      <c r="G1759" s="2">
        <f t="shared" si="163"/>
        <v>75.549242872153826</v>
      </c>
      <c r="H1759" s="2">
        <f t="shared" si="164"/>
        <v>271.83001387448309</v>
      </c>
    </row>
    <row r="1760" spans="1:8" x14ac:dyDescent="0.3">
      <c r="A1760" s="1">
        <v>44310</v>
      </c>
      <c r="B1760">
        <v>50050.867187999997</v>
      </c>
      <c r="C1760" s="2">
        <f t="shared" si="162"/>
        <v>-2.0409289768114625E-2</v>
      </c>
      <c r="D1760">
        <f t="shared" si="165"/>
        <v>52657.182812800005</v>
      </c>
      <c r="E1760">
        <f t="shared" si="166"/>
        <v>0</v>
      </c>
      <c r="F1760" s="2">
        <f t="shared" si="167"/>
        <v>0</v>
      </c>
      <c r="G1760" s="2">
        <f t="shared" si="163"/>
        <v>74.007336482614363</v>
      </c>
      <c r="H1760" s="2">
        <f t="shared" si="164"/>
        <v>271.83001387448309</v>
      </c>
    </row>
    <row r="1761" spans="1:8" x14ac:dyDescent="0.3">
      <c r="A1761" s="1">
        <v>44311</v>
      </c>
      <c r="B1761">
        <v>49004.253905999998</v>
      </c>
      <c r="C1761" s="2">
        <f t="shared" si="162"/>
        <v>-2.0910991972800996E-2</v>
      </c>
      <c r="D1761">
        <f t="shared" si="165"/>
        <v>51163.427344000003</v>
      </c>
      <c r="E1761">
        <f t="shared" si="166"/>
        <v>0</v>
      </c>
      <c r="F1761" s="2">
        <f t="shared" si="167"/>
        <v>0</v>
      </c>
      <c r="G1761" s="2">
        <f t="shared" si="163"/>
        <v>72.459769663498037</v>
      </c>
      <c r="H1761" s="2">
        <f t="shared" si="164"/>
        <v>271.83001387448309</v>
      </c>
    </row>
    <row r="1762" spans="1:8" x14ac:dyDescent="0.3">
      <c r="A1762" s="1">
        <v>44312</v>
      </c>
      <c r="B1762">
        <v>54021.753905999998</v>
      </c>
      <c r="C1762" s="2">
        <f t="shared" si="162"/>
        <v>0.10238907033712974</v>
      </c>
      <c r="D1762">
        <f t="shared" si="165"/>
        <v>51186.560156400003</v>
      </c>
      <c r="E1762">
        <f t="shared" si="166"/>
        <v>1</v>
      </c>
      <c r="F1762" s="2">
        <f t="shared" si="167"/>
        <v>0</v>
      </c>
      <c r="G1762" s="2">
        <f t="shared" si="163"/>
        <v>79.878858116186152</v>
      </c>
      <c r="H1762" s="2">
        <f t="shared" si="164"/>
        <v>271.83001387448309</v>
      </c>
    </row>
    <row r="1763" spans="1:8" x14ac:dyDescent="0.3">
      <c r="A1763" s="1">
        <v>44313</v>
      </c>
      <c r="B1763">
        <v>55033.117187999997</v>
      </c>
      <c r="C1763" s="2">
        <f t="shared" si="162"/>
        <v>1.872140774547626E-2</v>
      </c>
      <c r="D1763">
        <f t="shared" si="165"/>
        <v>51840.7289064</v>
      </c>
      <c r="E1763">
        <f t="shared" si="166"/>
        <v>1</v>
      </c>
      <c r="F1763" s="2">
        <f t="shared" si="167"/>
        <v>1.872140774547626E-2</v>
      </c>
      <c r="G1763" s="2">
        <f t="shared" si="163"/>
        <v>81.374302789222313</v>
      </c>
      <c r="H1763" s="2">
        <f t="shared" si="164"/>
        <v>276.91905440168574</v>
      </c>
    </row>
    <row r="1764" spans="1:8" x14ac:dyDescent="0.3">
      <c r="A1764" s="1">
        <v>44314</v>
      </c>
      <c r="B1764">
        <v>54824.703125</v>
      </c>
      <c r="C1764" s="2">
        <f t="shared" si="162"/>
        <v>-3.7870662911575481E-3</v>
      </c>
      <c r="D1764">
        <f t="shared" si="165"/>
        <v>52586.939062600002</v>
      </c>
      <c r="E1764">
        <f t="shared" si="166"/>
        <v>1</v>
      </c>
      <c r="F1764" s="2">
        <f t="shared" si="167"/>
        <v>-3.7870662911575481E-3</v>
      </c>
      <c r="G1764" s="2">
        <f t="shared" si="163"/>
        <v>81.066132910162807</v>
      </c>
      <c r="H1764" s="2">
        <f t="shared" si="164"/>
        <v>275.87034358538187</v>
      </c>
    </row>
    <row r="1765" spans="1:8" x14ac:dyDescent="0.3">
      <c r="A1765" s="1">
        <v>44315</v>
      </c>
      <c r="B1765">
        <v>53555.109375</v>
      </c>
      <c r="C1765" s="2">
        <f t="shared" si="162"/>
        <v>-2.3157330138301568E-2</v>
      </c>
      <c r="D1765">
        <f t="shared" si="165"/>
        <v>53287.787499999999</v>
      </c>
      <c r="E1765">
        <f t="shared" si="166"/>
        <v>1</v>
      </c>
      <c r="F1765" s="2">
        <f t="shared" si="167"/>
        <v>-2.3157330138301568E-2</v>
      </c>
      <c r="G1765" s="2">
        <f t="shared" si="163"/>
        <v>79.188857707326733</v>
      </c>
      <c r="H1765" s="2">
        <f t="shared" si="164"/>
        <v>269.4819229636085</v>
      </c>
    </row>
    <row r="1766" spans="1:8" x14ac:dyDescent="0.3">
      <c r="A1766" s="1">
        <v>44316</v>
      </c>
      <c r="B1766">
        <v>57750.175780999998</v>
      </c>
      <c r="C1766" s="2">
        <f t="shared" si="162"/>
        <v>7.8331768060178719E-2</v>
      </c>
      <c r="D1766">
        <f t="shared" si="165"/>
        <v>55036.971875000003</v>
      </c>
      <c r="E1766">
        <f t="shared" si="166"/>
        <v>1</v>
      </c>
      <c r="F1766" s="2">
        <f t="shared" si="167"/>
        <v>7.8331768060178719E-2</v>
      </c>
      <c r="G1766" s="2">
        <f t="shared" si="163"/>
        <v>85.391860942207543</v>
      </c>
      <c r="H1766" s="2">
        <f t="shared" si="164"/>
        <v>290.59091844960483</v>
      </c>
    </row>
    <row r="1767" spans="1:8" x14ac:dyDescent="0.3">
      <c r="A1767" s="1">
        <v>44317</v>
      </c>
      <c r="B1767">
        <v>57828.050780999998</v>
      </c>
      <c r="C1767" s="2">
        <f t="shared" si="162"/>
        <v>1.3484807439430035E-3</v>
      </c>
      <c r="D1767">
        <f t="shared" si="165"/>
        <v>55798.231249999997</v>
      </c>
      <c r="E1767">
        <f t="shared" si="166"/>
        <v>1</v>
      </c>
      <c r="F1767" s="2">
        <f t="shared" si="167"/>
        <v>1.3484807439430035E-3</v>
      </c>
      <c r="G1767" s="2">
        <f t="shared" si="163"/>
        <v>85.507010222377573</v>
      </c>
      <c r="H1767" s="2">
        <f t="shared" si="164"/>
        <v>290.98277470749883</v>
      </c>
    </row>
    <row r="1768" spans="1:8" x14ac:dyDescent="0.3">
      <c r="A1768" s="1">
        <v>44318</v>
      </c>
      <c r="B1768">
        <v>56631.078125</v>
      </c>
      <c r="C1768" s="2">
        <f t="shared" si="162"/>
        <v>-2.0698824183665532E-2</v>
      </c>
      <c r="D1768">
        <f t="shared" si="165"/>
        <v>56117.823437400002</v>
      </c>
      <c r="E1768">
        <f t="shared" si="166"/>
        <v>1</v>
      </c>
      <c r="F1768" s="2">
        <f t="shared" si="167"/>
        <v>-2.0698824183665532E-2</v>
      </c>
      <c r="G1768" s="2">
        <f t="shared" si="163"/>
        <v>83.737115651313687</v>
      </c>
      <c r="H1768" s="2">
        <f t="shared" si="164"/>
        <v>284.95977341335316</v>
      </c>
    </row>
    <row r="1769" spans="1:8" x14ac:dyDescent="0.3">
      <c r="A1769" s="1">
        <v>44319</v>
      </c>
      <c r="B1769">
        <v>57200.292969000002</v>
      </c>
      <c r="C1769" s="2">
        <f t="shared" si="162"/>
        <v>1.0051280371946802E-2</v>
      </c>
      <c r="D1769">
        <f t="shared" si="165"/>
        <v>56592.9414062</v>
      </c>
      <c r="E1769">
        <f t="shared" si="166"/>
        <v>1</v>
      </c>
      <c r="F1769" s="2">
        <f t="shared" si="167"/>
        <v>1.0051280371946802E-2</v>
      </c>
      <c r="G1769" s="2">
        <f t="shared" si="163"/>
        <v>84.578780878263174</v>
      </c>
      <c r="H1769" s="2">
        <f t="shared" si="164"/>
        <v>287.82398399065721</v>
      </c>
    </row>
    <row r="1770" spans="1:8" x14ac:dyDescent="0.3">
      <c r="A1770" s="1">
        <v>44320</v>
      </c>
      <c r="B1770">
        <v>53333.539062999997</v>
      </c>
      <c r="C1770" s="2">
        <f t="shared" si="162"/>
        <v>-6.7600246524884278E-2</v>
      </c>
      <c r="D1770">
        <f t="shared" si="165"/>
        <v>56548.627343799999</v>
      </c>
      <c r="E1770">
        <f t="shared" si="166"/>
        <v>0</v>
      </c>
      <c r="F1770" s="2">
        <f t="shared" si="167"/>
        <v>-6.7600246524884278E-2</v>
      </c>
      <c r="G1770" s="2">
        <f t="shared" si="163"/>
        <v>78.861234440118409</v>
      </c>
      <c r="H1770" s="2">
        <f t="shared" si="164"/>
        <v>268.36701171711445</v>
      </c>
    </row>
    <row r="1771" spans="1:8" x14ac:dyDescent="0.3">
      <c r="A1771" s="1">
        <v>44321</v>
      </c>
      <c r="B1771">
        <v>57424.007812999997</v>
      </c>
      <c r="C1771" s="2">
        <f t="shared" si="162"/>
        <v>7.669599321297893E-2</v>
      </c>
      <c r="D1771">
        <f t="shared" si="165"/>
        <v>56483.393750200004</v>
      </c>
      <c r="E1771">
        <f t="shared" si="166"/>
        <v>1</v>
      </c>
      <c r="F1771" s="2">
        <f t="shared" si="167"/>
        <v>0</v>
      </c>
      <c r="G1771" s="2">
        <f t="shared" si="163"/>
        <v>84.909575141504874</v>
      </c>
      <c r="H1771" s="2">
        <f t="shared" si="164"/>
        <v>268.36701171711445</v>
      </c>
    </row>
    <row r="1772" spans="1:8" x14ac:dyDescent="0.3">
      <c r="A1772" s="1">
        <v>44322</v>
      </c>
      <c r="B1772">
        <v>56396.515625</v>
      </c>
      <c r="C1772" s="2">
        <f t="shared" si="162"/>
        <v>-1.7893076905150962E-2</v>
      </c>
      <c r="D1772">
        <f t="shared" si="165"/>
        <v>56197.086718999999</v>
      </c>
      <c r="E1772">
        <f t="shared" si="166"/>
        <v>1</v>
      </c>
      <c r="F1772" s="2">
        <f t="shared" si="167"/>
        <v>-1.7893076905150962E-2</v>
      </c>
      <c r="G1772" s="2">
        <f t="shared" si="163"/>
        <v>83.390281583514238</v>
      </c>
      <c r="H1772" s="2">
        <f t="shared" si="164"/>
        <v>263.56510013765455</v>
      </c>
    </row>
    <row r="1773" spans="1:8" x14ac:dyDescent="0.3">
      <c r="A1773" s="1">
        <v>44323</v>
      </c>
      <c r="B1773">
        <v>57356.402344000002</v>
      </c>
      <c r="C1773" s="2">
        <f t="shared" si="162"/>
        <v>1.7020319577589094E-2</v>
      </c>
      <c r="D1773">
        <f t="shared" si="165"/>
        <v>56342.151562800005</v>
      </c>
      <c r="E1773">
        <f t="shared" si="166"/>
        <v>1</v>
      </c>
      <c r="F1773" s="2">
        <f t="shared" si="167"/>
        <v>1.7020319577589094E-2</v>
      </c>
      <c r="G1773" s="2">
        <f t="shared" si="163"/>
        <v>84.809610825730786</v>
      </c>
      <c r="H1773" s="2">
        <f t="shared" si="164"/>
        <v>268.0510623714967</v>
      </c>
    </row>
    <row r="1774" spans="1:8" x14ac:dyDescent="0.3">
      <c r="A1774" s="1">
        <v>44324</v>
      </c>
      <c r="B1774">
        <v>58803.777344000002</v>
      </c>
      <c r="C1774" s="2">
        <f t="shared" si="162"/>
        <v>2.5234759169852516E-2</v>
      </c>
      <c r="D1774">
        <f t="shared" si="165"/>
        <v>56662.848437799999</v>
      </c>
      <c r="E1774">
        <f t="shared" si="166"/>
        <v>1</v>
      </c>
      <c r="F1774" s="2">
        <f t="shared" si="167"/>
        <v>2.5234759169852516E-2</v>
      </c>
      <c r="G1774" s="2">
        <f t="shared" si="163"/>
        <v>86.94976093020702</v>
      </c>
      <c r="H1774" s="2">
        <f t="shared" si="164"/>
        <v>274.81526637566452</v>
      </c>
    </row>
    <row r="1775" spans="1:8" x14ac:dyDescent="0.3">
      <c r="A1775" s="1">
        <v>44325</v>
      </c>
      <c r="B1775">
        <v>58232.316405999998</v>
      </c>
      <c r="C1775" s="2">
        <f t="shared" si="162"/>
        <v>-9.7180991393966965E-3</v>
      </c>
      <c r="D1775">
        <f t="shared" si="165"/>
        <v>57642.6039064</v>
      </c>
      <c r="E1775">
        <f t="shared" si="166"/>
        <v>1</v>
      </c>
      <c r="F1775" s="2">
        <f t="shared" si="167"/>
        <v>-9.7180991393966965E-3</v>
      </c>
      <c r="G1775" s="2">
        <f t="shared" si="163"/>
        <v>86.104774533340432</v>
      </c>
      <c r="H1775" s="2">
        <f t="shared" si="164"/>
        <v>272.14458437200608</v>
      </c>
    </row>
    <row r="1776" spans="1:8" x14ac:dyDescent="0.3">
      <c r="A1776" s="1">
        <v>44326</v>
      </c>
      <c r="B1776">
        <v>55859.796875</v>
      </c>
      <c r="C1776" s="2">
        <f t="shared" si="162"/>
        <v>-4.0742317624094082E-2</v>
      </c>
      <c r="D1776">
        <f t="shared" si="165"/>
        <v>57329.7617188</v>
      </c>
      <c r="E1776">
        <f t="shared" si="166"/>
        <v>0</v>
      </c>
      <c r="F1776" s="2">
        <f t="shared" si="167"/>
        <v>-4.0742317624094082E-2</v>
      </c>
      <c r="G1776" s="2">
        <f t="shared" si="163"/>
        <v>82.596666460352068</v>
      </c>
      <c r="H1776" s="2">
        <f t="shared" si="164"/>
        <v>261.05678327584474</v>
      </c>
    </row>
    <row r="1777" spans="1:8" x14ac:dyDescent="0.3">
      <c r="A1777" s="1">
        <v>44327</v>
      </c>
      <c r="B1777">
        <v>56704.574219000002</v>
      </c>
      <c r="C1777" s="2">
        <f t="shared" si="162"/>
        <v>1.5123172500795201E-2</v>
      </c>
      <c r="D1777">
        <f t="shared" si="165"/>
        <v>57391.373437599999</v>
      </c>
      <c r="E1777">
        <f t="shared" si="166"/>
        <v>0</v>
      </c>
      <c r="F1777" s="2">
        <f t="shared" si="167"/>
        <v>0</v>
      </c>
      <c r="G1777" s="2">
        <f t="shared" si="163"/>
        <v>83.845790095222611</v>
      </c>
      <c r="H1777" s="2">
        <f t="shared" si="164"/>
        <v>261.05678327584474</v>
      </c>
    </row>
    <row r="1778" spans="1:8" x14ac:dyDescent="0.3">
      <c r="A1778" s="1">
        <v>44328</v>
      </c>
      <c r="B1778">
        <v>49150.535155999998</v>
      </c>
      <c r="C1778" s="2">
        <f t="shared" si="162"/>
        <v>-0.13321745497683102</v>
      </c>
      <c r="D1778">
        <f t="shared" si="165"/>
        <v>55750.2</v>
      </c>
      <c r="E1778">
        <f t="shared" si="166"/>
        <v>0</v>
      </c>
      <c r="F1778" s="2">
        <f t="shared" si="167"/>
        <v>0</v>
      </c>
      <c r="G1778" s="2">
        <f t="shared" si="163"/>
        <v>72.676067328215467</v>
      </c>
      <c r="H1778" s="2">
        <f t="shared" si="164"/>
        <v>261.05678327584474</v>
      </c>
    </row>
    <row r="1779" spans="1:8" x14ac:dyDescent="0.3">
      <c r="A1779" s="1">
        <v>44329</v>
      </c>
      <c r="B1779">
        <v>49716.191405999998</v>
      </c>
      <c r="C1779" s="2">
        <f t="shared" si="162"/>
        <v>1.1508648852034842E-2</v>
      </c>
      <c r="D1779">
        <f t="shared" si="165"/>
        <v>53932.682812400002</v>
      </c>
      <c r="E1779">
        <f t="shared" si="166"/>
        <v>0</v>
      </c>
      <c r="F1779" s="2">
        <f t="shared" si="167"/>
        <v>0</v>
      </c>
      <c r="G1779" s="2">
        <f t="shared" si="163"/>
        <v>73.512470667042734</v>
      </c>
      <c r="H1779" s="2">
        <f t="shared" si="164"/>
        <v>261.05678327584474</v>
      </c>
    </row>
    <row r="1780" spans="1:8" x14ac:dyDescent="0.3">
      <c r="A1780" s="1">
        <v>44330</v>
      </c>
      <c r="B1780">
        <v>49880.535155999998</v>
      </c>
      <c r="C1780" s="2">
        <f t="shared" si="162"/>
        <v>3.3056383715701632E-3</v>
      </c>
      <c r="D1780">
        <f t="shared" si="165"/>
        <v>52262.326562399998</v>
      </c>
      <c r="E1780">
        <f t="shared" si="166"/>
        <v>0</v>
      </c>
      <c r="F1780" s="2">
        <f t="shared" si="167"/>
        <v>0</v>
      </c>
      <c r="G1780" s="2">
        <f t="shared" si="163"/>
        <v>73.75547631086863</v>
      </c>
      <c r="H1780" s="2">
        <f t="shared" si="164"/>
        <v>261.05678327584474</v>
      </c>
    </row>
    <row r="1781" spans="1:8" x14ac:dyDescent="0.3">
      <c r="A1781" s="1">
        <v>44331</v>
      </c>
      <c r="B1781">
        <v>46760.1875</v>
      </c>
      <c r="C1781" s="2">
        <f t="shared" si="162"/>
        <v>-6.2556418976684958E-2</v>
      </c>
      <c r="D1781">
        <f t="shared" si="165"/>
        <v>50442.404687399998</v>
      </c>
      <c r="E1781">
        <f t="shared" si="166"/>
        <v>0</v>
      </c>
      <c r="F1781" s="2">
        <f t="shared" si="167"/>
        <v>0</v>
      </c>
      <c r="G1781" s="2">
        <f t="shared" si="163"/>
        <v>69.141597832940974</v>
      </c>
      <c r="H1781" s="2">
        <f t="shared" si="164"/>
        <v>261.05678327584474</v>
      </c>
    </row>
    <row r="1782" spans="1:8" x14ac:dyDescent="0.3">
      <c r="A1782" s="1">
        <v>44332</v>
      </c>
      <c r="B1782">
        <v>46456.058594000002</v>
      </c>
      <c r="C1782" s="2">
        <f t="shared" si="162"/>
        <v>-6.5040138258640745E-3</v>
      </c>
      <c r="D1782">
        <f t="shared" si="165"/>
        <v>48392.701562399998</v>
      </c>
      <c r="E1782">
        <f t="shared" si="166"/>
        <v>0</v>
      </c>
      <c r="F1782" s="2">
        <f t="shared" si="167"/>
        <v>0</v>
      </c>
      <c r="G1782" s="2">
        <f t="shared" si="163"/>
        <v>68.691899924693189</v>
      </c>
      <c r="H1782" s="2">
        <f t="shared" si="164"/>
        <v>261.05678327584474</v>
      </c>
    </row>
    <row r="1783" spans="1:8" x14ac:dyDescent="0.3">
      <c r="A1783" s="1">
        <v>44333</v>
      </c>
      <c r="B1783">
        <v>43537.511719000002</v>
      </c>
      <c r="C1783" s="2">
        <f t="shared" si="162"/>
        <v>-6.28238159527581E-2</v>
      </c>
      <c r="D1783">
        <f t="shared" si="165"/>
        <v>47270.096875000003</v>
      </c>
      <c r="E1783">
        <f t="shared" si="166"/>
        <v>0</v>
      </c>
      <c r="F1783" s="2">
        <f t="shared" si="167"/>
        <v>0</v>
      </c>
      <c r="G1783" s="2">
        <f t="shared" si="163"/>
        <v>64.376412646378981</v>
      </c>
      <c r="H1783" s="2">
        <f t="shared" si="164"/>
        <v>261.05678327584474</v>
      </c>
    </row>
    <row r="1784" spans="1:8" x14ac:dyDescent="0.3">
      <c r="A1784" s="1">
        <v>44334</v>
      </c>
      <c r="B1784">
        <v>42909.402344000002</v>
      </c>
      <c r="C1784" s="2">
        <f t="shared" si="162"/>
        <v>-1.4426855146291939E-2</v>
      </c>
      <c r="D1784">
        <f t="shared" si="165"/>
        <v>45908.739062599998</v>
      </c>
      <c r="E1784">
        <f t="shared" si="166"/>
        <v>0</v>
      </c>
      <c r="F1784" s="2">
        <f t="shared" si="167"/>
        <v>0</v>
      </c>
      <c r="G1784" s="2">
        <f t="shared" si="163"/>
        <v>63.447663466291758</v>
      </c>
      <c r="H1784" s="2">
        <f t="shared" si="164"/>
        <v>261.05678327584474</v>
      </c>
    </row>
    <row r="1785" spans="1:8" x14ac:dyDescent="0.3">
      <c r="A1785" s="1">
        <v>44335</v>
      </c>
      <c r="B1785">
        <v>37002.441405999998</v>
      </c>
      <c r="C1785" s="2">
        <f t="shared" si="162"/>
        <v>-0.13766122610248777</v>
      </c>
      <c r="D1785">
        <f t="shared" si="165"/>
        <v>43333.120312600004</v>
      </c>
      <c r="E1785">
        <f t="shared" si="166"/>
        <v>0</v>
      </c>
      <c r="F1785" s="2">
        <f t="shared" si="167"/>
        <v>0</v>
      </c>
      <c r="G1785" s="2">
        <f t="shared" si="163"/>
        <v>54.713380320184015</v>
      </c>
      <c r="H1785" s="2">
        <f t="shared" si="164"/>
        <v>261.05678327584474</v>
      </c>
    </row>
    <row r="1786" spans="1:8" x14ac:dyDescent="0.3">
      <c r="A1786" s="1">
        <v>44336</v>
      </c>
      <c r="B1786">
        <v>40782.738280999998</v>
      </c>
      <c r="C1786" s="2">
        <f t="shared" si="162"/>
        <v>0.10216344466360039</v>
      </c>
      <c r="D1786">
        <f t="shared" si="165"/>
        <v>42137.630468800002</v>
      </c>
      <c r="E1786">
        <f t="shared" si="166"/>
        <v>0</v>
      </c>
      <c r="F1786" s="2">
        <f t="shared" si="167"/>
        <v>0</v>
      </c>
      <c r="G1786" s="2">
        <f t="shared" si="163"/>
        <v>60.30308772288366</v>
      </c>
      <c r="H1786" s="2">
        <f t="shared" si="164"/>
        <v>261.05678327584474</v>
      </c>
    </row>
    <row r="1787" spans="1:8" x14ac:dyDescent="0.3">
      <c r="A1787" s="1">
        <v>44337</v>
      </c>
      <c r="B1787">
        <v>37304.691405999998</v>
      </c>
      <c r="C1787" s="2">
        <f t="shared" si="162"/>
        <v>-8.5282328298695087E-2</v>
      </c>
      <c r="D1787">
        <f t="shared" si="165"/>
        <v>40307.357031200001</v>
      </c>
      <c r="E1787">
        <f t="shared" si="166"/>
        <v>0</v>
      </c>
      <c r="F1787" s="2">
        <f t="shared" si="167"/>
        <v>0</v>
      </c>
      <c r="G1787" s="2">
        <f t="shared" si="163"/>
        <v>55.16029999827569</v>
      </c>
      <c r="H1787" s="2">
        <f t="shared" si="164"/>
        <v>261.05678327584474</v>
      </c>
    </row>
    <row r="1788" spans="1:8" x14ac:dyDescent="0.3">
      <c r="A1788" s="1">
        <v>44338</v>
      </c>
      <c r="B1788">
        <v>37536.632812999997</v>
      </c>
      <c r="C1788" s="2">
        <f t="shared" si="162"/>
        <v>6.2174862800954411E-3</v>
      </c>
      <c r="D1788">
        <f t="shared" si="165"/>
        <v>39107.181250000001</v>
      </c>
      <c r="E1788">
        <f t="shared" si="166"/>
        <v>0</v>
      </c>
      <c r="F1788" s="2">
        <f t="shared" si="167"/>
        <v>0</v>
      </c>
      <c r="G1788" s="2">
        <f t="shared" si="163"/>
        <v>55.503258406720917</v>
      </c>
      <c r="H1788" s="2">
        <f t="shared" si="164"/>
        <v>261.05678327584474</v>
      </c>
    </row>
    <row r="1789" spans="1:8" x14ac:dyDescent="0.3">
      <c r="A1789" s="1">
        <v>44339</v>
      </c>
      <c r="B1789">
        <v>34770.582030999998</v>
      </c>
      <c r="C1789" s="2">
        <f t="shared" si="162"/>
        <v>-7.3689368883456119E-2</v>
      </c>
      <c r="D1789">
        <f t="shared" si="165"/>
        <v>37479.417187400002</v>
      </c>
      <c r="E1789">
        <f t="shared" si="166"/>
        <v>0</v>
      </c>
      <c r="F1789" s="2">
        <f t="shared" si="167"/>
        <v>0</v>
      </c>
      <c r="G1789" s="2">
        <f t="shared" si="163"/>
        <v>51.41325832375427</v>
      </c>
      <c r="H1789" s="2">
        <f t="shared" si="164"/>
        <v>261.05678327584474</v>
      </c>
    </row>
    <row r="1790" spans="1:8" x14ac:dyDescent="0.3">
      <c r="A1790" s="1">
        <v>44340</v>
      </c>
      <c r="B1790">
        <v>38705.980469000002</v>
      </c>
      <c r="C1790" s="2">
        <f t="shared" si="162"/>
        <v>0.11318183959334838</v>
      </c>
      <c r="D1790">
        <f t="shared" si="165"/>
        <v>37820.125</v>
      </c>
      <c r="E1790">
        <f t="shared" si="166"/>
        <v>1</v>
      </c>
      <c r="F1790" s="2">
        <f t="shared" si="167"/>
        <v>0</v>
      </c>
      <c r="G1790" s="2">
        <f t="shared" si="163"/>
        <v>57.232305480324811</v>
      </c>
      <c r="H1790" s="2">
        <f t="shared" si="164"/>
        <v>261.05678327584474</v>
      </c>
    </row>
    <row r="1791" spans="1:8" x14ac:dyDescent="0.3">
      <c r="A1791" s="1">
        <v>44341</v>
      </c>
      <c r="B1791">
        <v>38402.222655999998</v>
      </c>
      <c r="C1791" s="2">
        <f t="shared" si="162"/>
        <v>-7.847826338962971E-3</v>
      </c>
      <c r="D1791">
        <f t="shared" si="165"/>
        <v>37344.021874999999</v>
      </c>
      <c r="E1791">
        <f t="shared" si="166"/>
        <v>1</v>
      </c>
      <c r="F1791" s="2">
        <f t="shared" si="167"/>
        <v>-7.847826338962971E-3</v>
      </c>
      <c r="G1791" s="2">
        <f t="shared" si="163"/>
        <v>56.783156285936741</v>
      </c>
      <c r="H1791" s="2">
        <f t="shared" si="164"/>
        <v>259.00805497608764</v>
      </c>
    </row>
    <row r="1792" spans="1:8" x14ac:dyDescent="0.3">
      <c r="A1792" s="1">
        <v>44342</v>
      </c>
      <c r="B1792">
        <v>39294.199219000002</v>
      </c>
      <c r="C1792" s="2">
        <f t="shared" si="162"/>
        <v>2.32272118983885E-2</v>
      </c>
      <c r="D1792">
        <f t="shared" si="165"/>
        <v>37741.923437600002</v>
      </c>
      <c r="E1792">
        <f t="shared" si="166"/>
        <v>1</v>
      </c>
      <c r="F1792" s="2">
        <f t="shared" si="167"/>
        <v>2.32272118983885E-2</v>
      </c>
      <c r="G1792" s="2">
        <f t="shared" si="163"/>
        <v>58.102070689249501</v>
      </c>
      <c r="H1792" s="2">
        <f t="shared" si="164"/>
        <v>265.02408995240665</v>
      </c>
    </row>
    <row r="1793" spans="1:8" x14ac:dyDescent="0.3">
      <c r="A1793" s="1">
        <v>44343</v>
      </c>
      <c r="B1793">
        <v>38436.96875</v>
      </c>
      <c r="C1793" s="2">
        <f t="shared" si="162"/>
        <v>-2.1815700180638942E-2</v>
      </c>
      <c r="D1793">
        <f t="shared" si="165"/>
        <v>37921.990624999999</v>
      </c>
      <c r="E1793">
        <f t="shared" si="166"/>
        <v>1</v>
      </c>
      <c r="F1793" s="2">
        <f t="shared" si="167"/>
        <v>-2.1815700180638942E-2</v>
      </c>
      <c r="G1793" s="2">
        <f t="shared" si="163"/>
        <v>56.834533335218545</v>
      </c>
      <c r="H1793" s="2">
        <f t="shared" si="164"/>
        <v>259.24240386535826</v>
      </c>
    </row>
    <row r="1794" spans="1:8" x14ac:dyDescent="0.3">
      <c r="A1794" s="1">
        <v>44344</v>
      </c>
      <c r="B1794">
        <v>35697.605469000002</v>
      </c>
      <c r="C1794" s="2">
        <f t="shared" si="162"/>
        <v>-7.1268972816697418E-2</v>
      </c>
      <c r="D1794">
        <f t="shared" si="165"/>
        <v>38107.395312599998</v>
      </c>
      <c r="E1794">
        <f t="shared" si="166"/>
        <v>0</v>
      </c>
      <c r="F1794" s="2">
        <f t="shared" si="167"/>
        <v>-7.1268972816697418E-2</v>
      </c>
      <c r="G1794" s="2">
        <f t="shared" si="163"/>
        <v>52.783994523901171</v>
      </c>
      <c r="H1794" s="2">
        <f t="shared" si="164"/>
        <v>240.76646403134274</v>
      </c>
    </row>
    <row r="1795" spans="1:8" x14ac:dyDescent="0.3">
      <c r="A1795" s="1">
        <v>44345</v>
      </c>
      <c r="B1795">
        <v>34616.066405999998</v>
      </c>
      <c r="C1795" s="2">
        <f t="shared" si="162"/>
        <v>-3.0297243996917911E-2</v>
      </c>
      <c r="D1795">
        <f t="shared" si="165"/>
        <v>37289.412499999999</v>
      </c>
      <c r="E1795">
        <f t="shared" si="166"/>
        <v>0</v>
      </c>
      <c r="F1795" s="2">
        <f t="shared" si="167"/>
        <v>0</v>
      </c>
      <c r="G1795" s="2">
        <f t="shared" si="163"/>
        <v>51.184784962678556</v>
      </c>
      <c r="H1795" s="2">
        <f t="shared" si="164"/>
        <v>240.76646403134274</v>
      </c>
    </row>
    <row r="1796" spans="1:8" x14ac:dyDescent="0.3">
      <c r="A1796" s="1">
        <v>44346</v>
      </c>
      <c r="B1796">
        <v>35678.128905999998</v>
      </c>
      <c r="C1796" s="2">
        <f t="shared" ref="C1796:C1802" si="168">B1796/B1795-1</f>
        <v>3.0681201253297541E-2</v>
      </c>
      <c r="D1796">
        <f t="shared" si="165"/>
        <v>36744.59375</v>
      </c>
      <c r="E1796">
        <f t="shared" si="166"/>
        <v>0</v>
      </c>
      <c r="F1796" s="2">
        <f t="shared" si="167"/>
        <v>0</v>
      </c>
      <c r="G1796" s="2">
        <f t="shared" ref="G1796:G1802" si="169">(1+C1796)*G1795</f>
        <v>52.755195651225257</v>
      </c>
      <c r="H1796" s="2">
        <f t="shared" ref="H1796:H1802" si="170">(1+F1796)*H1795</f>
        <v>240.76646403134274</v>
      </c>
    </row>
    <row r="1797" spans="1:8" x14ac:dyDescent="0.3">
      <c r="A1797" s="1">
        <v>44347</v>
      </c>
      <c r="B1797">
        <v>37332.855469000002</v>
      </c>
      <c r="C1797" s="2">
        <f t="shared" si="168"/>
        <v>4.637929773054128E-2</v>
      </c>
      <c r="D1797">
        <f t="shared" si="165"/>
        <v>36352.324999999997</v>
      </c>
      <c r="E1797">
        <f t="shared" si="166"/>
        <v>1</v>
      </c>
      <c r="F1797" s="2">
        <f t="shared" si="167"/>
        <v>0</v>
      </c>
      <c r="G1797" s="2">
        <f t="shared" si="169"/>
        <v>55.201944577166387</v>
      </c>
      <c r="H1797" s="2">
        <f t="shared" si="170"/>
        <v>240.76646403134274</v>
      </c>
    </row>
    <row r="1798" spans="1:8" x14ac:dyDescent="0.3">
      <c r="A1798" s="1">
        <v>44348</v>
      </c>
      <c r="B1798">
        <v>36684.925780999998</v>
      </c>
      <c r="C1798" s="2">
        <f t="shared" si="168"/>
        <v>-1.7355481649080517E-2</v>
      </c>
      <c r="D1798">
        <f t="shared" si="165"/>
        <v>36001.916406199998</v>
      </c>
      <c r="E1798">
        <f t="shared" si="166"/>
        <v>1</v>
      </c>
      <c r="F1798" s="2">
        <f t="shared" si="167"/>
        <v>-1.7355481649080517E-2</v>
      </c>
      <c r="G1798" s="2">
        <f t="shared" si="169"/>
        <v>54.243888241063814</v>
      </c>
      <c r="H1798" s="2">
        <f t="shared" si="170"/>
        <v>236.58784608313277</v>
      </c>
    </row>
    <row r="1799" spans="1:8" x14ac:dyDescent="0.3">
      <c r="A1799" s="1">
        <v>44349</v>
      </c>
      <c r="B1799">
        <v>37575.179687999997</v>
      </c>
      <c r="C1799" s="2">
        <f t="shared" si="168"/>
        <v>2.4267567346724306E-2</v>
      </c>
      <c r="D1799">
        <f t="shared" ref="D1799:D1802" si="171">AVERAGE(B1795:B1799)</f>
        <v>36377.431250000001</v>
      </c>
      <c r="E1799">
        <f t="shared" ref="E1799:E1802" si="172">IF(B1799&gt;D1799,1,0)</f>
        <v>1</v>
      </c>
      <c r="F1799" s="2">
        <f t="shared" si="167"/>
        <v>2.4267567346724306E-2</v>
      </c>
      <c r="G1799" s="2">
        <f t="shared" si="169"/>
        <v>55.56025545210202</v>
      </c>
      <c r="H1799" s="2">
        <f t="shared" si="170"/>
        <v>242.32925757137164</v>
      </c>
    </row>
    <row r="1800" spans="1:8" x14ac:dyDescent="0.3">
      <c r="A1800" s="1">
        <v>44350</v>
      </c>
      <c r="B1800">
        <v>39208.765625</v>
      </c>
      <c r="C1800" s="2">
        <f t="shared" si="168"/>
        <v>4.3475133068271221E-2</v>
      </c>
      <c r="D1800">
        <f t="shared" si="171"/>
        <v>37295.971093799999</v>
      </c>
      <c r="E1800">
        <f t="shared" si="172"/>
        <v>1</v>
      </c>
      <c r="F1800" s="2">
        <f t="shared" ref="F1800:F1802" si="173">E1799*C1800</f>
        <v>4.3475133068271221E-2</v>
      </c>
      <c r="G1800" s="2">
        <f t="shared" si="169"/>
        <v>57.975744951189299</v>
      </c>
      <c r="H1800" s="2">
        <f t="shared" si="170"/>
        <v>252.86455429062241</v>
      </c>
    </row>
    <row r="1801" spans="1:8" x14ac:dyDescent="0.3">
      <c r="A1801" s="1">
        <v>44351</v>
      </c>
      <c r="B1801">
        <v>36894.40625</v>
      </c>
      <c r="C1801" s="2">
        <f t="shared" si="168"/>
        <v>-5.9026580870588208E-2</v>
      </c>
      <c r="D1801">
        <f t="shared" si="171"/>
        <v>37539.226562600001</v>
      </c>
      <c r="E1801">
        <f t="shared" si="172"/>
        <v>0</v>
      </c>
      <c r="F1801" s="2">
        <f t="shared" si="173"/>
        <v>-5.9026580870588208E-2</v>
      </c>
      <c r="G1801" s="2">
        <f t="shared" si="169"/>
        <v>54.55363495329533</v>
      </c>
      <c r="H1801" s="2">
        <f t="shared" si="170"/>
        <v>237.93882422748175</v>
      </c>
    </row>
    <row r="1802" spans="1:8" x14ac:dyDescent="0.3">
      <c r="A1802" s="1">
        <v>44352</v>
      </c>
      <c r="B1802">
        <v>36035.503905999998</v>
      </c>
      <c r="C1802" s="2">
        <f t="shared" si="168"/>
        <v>-2.3280015354631201E-2</v>
      </c>
      <c r="D1802">
        <f t="shared" si="171"/>
        <v>37279.756249999999</v>
      </c>
      <c r="E1802">
        <f t="shared" si="172"/>
        <v>0</v>
      </c>
      <c r="F1802" s="2">
        <f t="shared" si="173"/>
        <v>0</v>
      </c>
      <c r="G1802" s="2">
        <f t="shared" si="169"/>
        <v>53.283625493931666</v>
      </c>
      <c r="H1802" s="2">
        <f t="shared" si="170"/>
        <v>237.93882422748175</v>
      </c>
    </row>
  </sheetData>
  <pageMargins left="0.7" right="0.7" top="0.78740157499999996" bottom="0.78740157499999996" header="0.3" footer="0.3"/>
  <pageSetup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Bitcoin MA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None</dc:creator>
  <cp:lastModifiedBy>Kyle O'Hagan</cp:lastModifiedBy>
  <dcterms:created xsi:type="dcterms:W3CDTF">2021-06-05T17:56:58Z</dcterms:created>
  <dcterms:modified xsi:type="dcterms:W3CDTF">2021-08-30T15:10:46Z</dcterms:modified>
</cp:coreProperties>
</file>